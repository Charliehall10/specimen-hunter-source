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Paytable" sheetId="2" state="visible" r:id="rId2"/>
    <sheet name="Reel Strips" sheetId="3" state="visible" r:id="rId3"/>
    <sheet name="Line Wins Base" sheetId="4" state="visible" r:id="rId4"/>
    <sheet name="Line Wins Free Spins" sheetId="5" state="visible" r:id="rId5"/>
    <sheet name="Fish Values" sheetId="6" state="visible" r:id="rId6"/>
    <sheet name="Kingfisher" sheetId="7" state="visible" r:id="rId7"/>
    <sheet name="Baited Swims" sheetId="8" state="visible" r:id="rId8"/>
    <sheet name="Free Spins Feature" sheetId="9" state="visible" r:id="rId9"/>
    <sheet name="Win Distribution" sheetId="10" state="visible" r:id="rId10"/>
    <sheet name="Strip Listing" sheetId="11" state="visible" r:id="rId11"/>
  </sheets>
  <definedNames/>
  <calcPr calcId="124519" fullCalcOnLoad="1"/>
</workbook>
</file>

<file path=xl/styles.xml><?xml version="1.0" encoding="utf-8"?>
<styleSheet xmlns="http://schemas.openxmlformats.org/spreadsheetml/2006/main">
  <numFmts count="15">
    <numFmt numFmtId="164" formatCode="0.00&quot;x&quot;"/>
    <numFmt numFmtId="165" formatCode="0.0000"/>
    <numFmt numFmtId="166" formatCode="0.0000000"/>
    <numFmt numFmtId="167" formatCode="0.000%"/>
    <numFmt numFmtId="168" formatCode="0.0E+00"/>
    <numFmt numFmtId="169" formatCode="#,##0.0&quot;x&quot;"/>
    <numFmt numFmtId="170" formatCode="0.0000%"/>
    <numFmt numFmtId="171" formatCode="0.0000&quot;x&quot;"/>
    <numFmt numFmtId="172" formatCode="&quot;x&quot;0"/>
    <numFmt numFmtId="173" formatCode="0.000000000"/>
    <numFmt numFmtId="174" formatCode="0.000000"/>
    <numFmt numFmtId="175" formatCode="#,##0.0"/>
    <numFmt numFmtId="176" formatCode="0.000"/>
    <numFmt numFmtId="177" formatCode="0.000000%"/>
    <numFmt numFmtId="178" formatCode="#,##0&quot;x&quot;"/>
  </numFmts>
  <fonts count="9">
    <font>
      <name val="Calibri"/>
      <family val="2"/>
      <color theme="1"/>
      <sz val="11"/>
      <scheme val="minor"/>
    </font>
    <font>
      <name val="Arial"/>
      <b val="1"/>
      <sz val="14"/>
    </font>
    <font>
      <name val="Arial"/>
      <i val="1"/>
      <color rgb="00555555"/>
      <sz val="9"/>
    </font>
    <font>
      <name val="Arial"/>
      <b val="1"/>
      <color rgb="00FFFFFF"/>
      <sz val="10"/>
    </font>
    <font>
      <name val="Arial"/>
      <color rgb="00000000"/>
      <sz val="10"/>
    </font>
    <font>
      <name val="Arial"/>
      <color rgb="000000FF"/>
      <sz val="10"/>
    </font>
    <font>
      <name val="Arial"/>
      <b val="1"/>
      <color rgb="00000000"/>
      <sz val="10"/>
    </font>
    <font>
      <name val="Arial"/>
      <color rgb="00008000"/>
      <sz val="10"/>
    </font>
    <font>
      <name val="Arial"/>
      <b val="1"/>
      <color rgb="000000FF"/>
      <sz val="10"/>
    </font>
  </fonts>
  <fills count="4">
    <fill>
      <patternFill/>
    </fill>
    <fill>
      <patternFill patternType="gray125"/>
    </fill>
    <fill>
      <patternFill patternType="solid">
        <fgColor rgb="001F4E5A"/>
      </patternFill>
    </fill>
    <fill>
      <patternFill patternType="solid">
        <fgColor rgb="00FFF2CC"/>
      </patternFill>
    </fill>
  </fills>
  <borders count="1">
    <border>
      <left/>
      <right/>
      <top/>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6" fillId="0" borderId="0" pivotButton="0" quotePrefix="0" xfId="0"/>
    <xf numFmtId="167" fontId="6" fillId="3" borderId="0" pivotButton="0" quotePrefix="0" xfId="0"/>
    <xf numFmtId="0" fontId="4" fillId="0" borderId="0" pivotButton="0" quotePrefix="0" xfId="0"/>
    <xf numFmtId="167" fontId="7" fillId="0" borderId="0" pivotButton="0" quotePrefix="0" xfId="0"/>
    <xf numFmtId="167" fontId="5" fillId="0" borderId="0" pivotButton="0" quotePrefix="0" xfId="0"/>
    <xf numFmtId="167" fontId="8" fillId="3" borderId="0" pivotButton="0" quotePrefix="0" xfId="0"/>
    <xf numFmtId="175" fontId="7" fillId="0" borderId="0" pivotButton="0" quotePrefix="0" xfId="0"/>
    <xf numFmtId="3" fontId="7" fillId="0" borderId="0" pivotButton="0" quotePrefix="0" xfId="0"/>
    <xf numFmtId="164" fontId="7" fillId="0" borderId="0" pivotButton="0" quotePrefix="0" xfId="0"/>
    <xf numFmtId="2" fontId="7" fillId="0" borderId="0" pivotButton="0" quotePrefix="0" xfId="0"/>
    <xf numFmtId="176" fontId="7" fillId="0" borderId="0" pivotButton="0" quotePrefix="0" xfId="0"/>
    <xf numFmtId="2" fontId="5" fillId="0" borderId="0" pivotButton="0" quotePrefix="0" xfId="0"/>
    <xf numFmtId="169" fontId="5" fillId="0" borderId="0" pivotButton="0" quotePrefix="0" xfId="0"/>
    <xf numFmtId="178" fontId="5" fillId="0" borderId="0" pivotButton="0" quotePrefix="0" xfId="0"/>
    <xf numFmtId="3" fontId="5" fillId="0" borderId="0" pivotButton="0" quotePrefix="0" xfId="0"/>
    <xf numFmtId="3" fontId="4" fillId="0" borderId="0" pivotButton="0" quotePrefix="0" xfId="0"/>
    <xf numFmtId="0" fontId="5" fillId="0" borderId="0" pivotButton="0" quotePrefix="0" xfId="0"/>
    <xf numFmtId="164" fontId="4" fillId="0" borderId="0" pivotButton="0" quotePrefix="0" xfId="0"/>
    <xf numFmtId="165" fontId="4" fillId="0" borderId="0" pivotButton="0" quotePrefix="0" xfId="0"/>
    <xf numFmtId="166" fontId="4" fillId="0" borderId="0" pivotButton="0" quotePrefix="0" xfId="0"/>
    <xf numFmtId="167" fontId="4" fillId="0" borderId="0" pivotButton="0" quotePrefix="0" xfId="0"/>
    <xf numFmtId="166" fontId="5" fillId="0" borderId="0" pivotButton="0" quotePrefix="0" xfId="0"/>
    <xf numFmtId="167" fontId="6" fillId="0" borderId="0" pivotButton="0" quotePrefix="0" xfId="0"/>
    <xf numFmtId="168" fontId="4" fillId="0" borderId="0" pivotButton="0" quotePrefix="0" xfId="0"/>
    <xf numFmtId="170" fontId="4" fillId="0" borderId="0" pivotButton="0" quotePrefix="0" xfId="0"/>
    <xf numFmtId="171" fontId="4" fillId="0" borderId="0" pivotButton="0" quotePrefix="0" xfId="0"/>
    <xf numFmtId="171" fontId="6" fillId="0" borderId="0" pivotButton="0" quotePrefix="0" xfId="0"/>
    <xf numFmtId="171" fontId="5" fillId="0" borderId="0" pivotButton="0" quotePrefix="0" xfId="0"/>
    <xf numFmtId="172" fontId="5" fillId="0" borderId="0" pivotButton="0" quotePrefix="0" xfId="0"/>
    <xf numFmtId="173" fontId="5" fillId="0" borderId="0" pivotButton="0" quotePrefix="0" xfId="0"/>
    <xf numFmtId="174" fontId="4" fillId="0" borderId="0" pivotButton="0" quotePrefix="0" xfId="0"/>
    <xf numFmtId="173" fontId="4" fillId="0" borderId="0" pivotButton="0" quotePrefix="0" xfId="0"/>
    <xf numFmtId="174" fontId="6" fillId="0" borderId="0" pivotButton="0" quotePrefix="0" xfId="0"/>
    <xf numFmtId="175" fontId="4" fillId="0" borderId="0" pivotButton="0" quotePrefix="0" xfId="0"/>
    <xf numFmtId="176" fontId="4" fillId="0" borderId="0" pivotButton="0" quotePrefix="0" xfId="0"/>
    <xf numFmtId="171" fontId="7" fillId="0" borderId="0" pivotButton="0" quotePrefix="0" xfId="0"/>
    <xf numFmtId="165" fontId="7" fillId="0" borderId="0" pivotButton="0" quotePrefix="0" xfId="0"/>
    <xf numFmtId="177" fontId="4" fillId="0" borderId="0" pivotButton="0" quotePrefix="0" xfId="0"/>
    <xf numFmtId="3"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4"/>
  <sheetViews>
    <sheetView workbookViewId="0">
      <selection activeCell="A1" sqref="A1"/>
    </sheetView>
  </sheetViews>
  <sheetFormatPr baseColWidth="8" defaultRowHeight="15"/>
  <cols>
    <col width="44" customWidth="1" min="1" max="1"/>
    <col width="26" customWidth="1" min="2" max="2"/>
    <col width="60" customWidth="1" min="3" max="3"/>
  </cols>
  <sheetData>
    <row r="1">
      <c r="A1" s="1" t="inlineStr">
        <is>
          <t>Specimen Hunter - PAR sheet (probability accounting report)</t>
        </is>
      </c>
    </row>
    <row r="2">
      <c r="A2" s="2" t="inlineStr">
        <is>
          <t>v1.1 demo (baited swims) | 5x3, 10 fixed lines | generated 2026-10-12 | design figures, NOT independently certified</t>
        </is>
      </c>
    </row>
    <row r="4">
      <c r="A4" s="3" t="inlineStr">
        <is>
          <t>Measure</t>
        </is>
      </c>
      <c r="B4" s="3" t="inlineStr">
        <is>
          <t>Value</t>
        </is>
      </c>
      <c r="C4" s="3" t="inlineStr">
        <is>
          <t>Source</t>
        </is>
      </c>
    </row>
    <row r="5">
      <c r="A5" s="4" t="inlineStr">
        <is>
          <t>RTP with the 5,000x cap (design RTP)</t>
        </is>
      </c>
      <c r="B5" s="5">
        <f>B6-B7</f>
        <v/>
      </c>
      <c r="C5" s="2" t="inlineStr">
        <is>
          <t>Exact uncapped RTP minus the simulated cost of the cap</t>
        </is>
      </c>
    </row>
    <row r="6">
      <c r="A6" s="6" t="inlineStr">
        <is>
          <t>Theoretical RTP (exact, uncapped)</t>
        </is>
      </c>
      <c r="B6" s="7">
        <f>Kingfisher!$B$14+'Free Spins Feature'!B24</f>
        <v/>
      </c>
      <c r="C6" s="2" t="inlineStr">
        <is>
          <t>Exact from strips (formulas in this workbook)</t>
        </is>
      </c>
    </row>
    <row r="7">
      <c r="A7" s="6" t="inlineStr">
        <is>
          <t>Cost of the 5,000x cap</t>
        </is>
      </c>
      <c r="B7" s="8" t="n">
        <v>0.0008470766962981896</v>
      </c>
      <c r="C7" s="2" t="inlineStr">
        <is>
          <t>Simulated: 20,000,002 features played with no cap, average amount over 5,000x x P(trigger) (95% CI +/- 0.010%)</t>
        </is>
      </c>
    </row>
    <row r="8">
      <c r="A8" s="6" t="inlineStr">
        <is>
          <t xml:space="preserve">  of which base game (line wins incl. kingfisher)</t>
        </is>
      </c>
      <c r="B8" s="7">
        <f>Kingfisher!$B$14</f>
        <v/>
      </c>
      <c r="C8" s="2" t="inlineStr">
        <is>
          <t>Kingfisher</t>
        </is>
      </c>
    </row>
    <row r="9">
      <c r="A9" s="6" t="inlineStr">
        <is>
          <t xml:space="preserve">  of which free spins feature</t>
        </is>
      </c>
      <c r="B9" s="7">
        <f>'Free Spins Feature'!B24</f>
        <v/>
      </c>
      <c r="C9" s="2" t="inlineStr">
        <is>
          <t>Free Spins Feature</t>
        </is>
      </c>
    </row>
    <row r="10">
      <c r="A10" s="4" t="inlineStr">
        <is>
          <t>Simulated RTP</t>
        </is>
      </c>
      <c r="B10" s="9" t="n">
        <v>0.9630377100022699</v>
      </c>
      <c r="C10" s="2" t="inlineStr">
        <is>
          <t>Simulation, 50,000,000 rounds</t>
        </is>
      </c>
    </row>
    <row r="11">
      <c r="A11" s="6" t="inlineStr">
        <is>
          <t>Simulated RTP 95% confidence (+/-)</t>
        </is>
      </c>
      <c r="B11" s="8" t="n">
        <v>0.00250048537228725</v>
      </c>
      <c r="C11" s="2" t="inlineStr">
        <is>
          <t>1.96 x SD / sqrt(rounds)</t>
        </is>
      </c>
    </row>
    <row r="12">
      <c r="A12" s="6" t="inlineStr">
        <is>
          <t>Hit frequency (any line win in base spin)</t>
        </is>
      </c>
      <c r="B12" s="8" t="n">
        <v>0.25454346</v>
      </c>
      <c r="C12" s="2" t="inlineStr">
        <is>
          <t>Simulation</t>
        </is>
      </c>
    </row>
    <row r="13">
      <c r="A13" s="6" t="inlineStr">
        <is>
          <t>Feature frequency: 1 in</t>
        </is>
      </c>
      <c r="B13" s="10">
        <f>'Free Spins Feature'!B9</f>
        <v/>
      </c>
      <c r="C13" s="2" t="inlineStr">
        <is>
          <t>Exact</t>
        </is>
      </c>
    </row>
    <row r="14">
      <c r="A14" s="6" t="inlineStr">
        <is>
          <t>Kingfisher: 1 in</t>
        </is>
      </c>
      <c r="B14" s="11">
        <f>Kingfisher!B5</f>
        <v/>
      </c>
      <c r="C14" s="2" t="inlineStr">
        <is>
          <t>engine.js</t>
        </is>
      </c>
    </row>
    <row r="15">
      <c r="A15" s="6" t="inlineStr">
        <is>
          <t>Kingfisher average line win (x stake)</t>
        </is>
      </c>
      <c r="B15" s="12">
        <f>Kingfisher!D11</f>
        <v/>
      </c>
      <c r="C15" s="2" t="inlineStr">
        <is>
          <t>Exact</t>
        </is>
      </c>
    </row>
    <row r="16">
      <c r="A16" s="6" t="inlineStr">
        <is>
          <t>Expected free spins per feature</t>
        </is>
      </c>
      <c r="B16" s="13">
        <f>'Free Spins Feature'!B14</f>
        <v/>
      </c>
      <c r="C16" s="2" t="inlineStr">
        <is>
          <t>Exact</t>
        </is>
      </c>
    </row>
    <row r="17">
      <c r="A17" s="6" t="inlineStr">
        <is>
          <t>Expected feature win (x stake)</t>
        </is>
      </c>
      <c r="B17" s="12">
        <f>'Free Spins Feature'!B23</f>
        <v/>
      </c>
      <c r="C17" s="2" t="inlineStr">
        <is>
          <t>Exact (uncapped)</t>
        </is>
      </c>
    </row>
    <row r="18">
      <c r="A18" s="6" t="inlineStr">
        <is>
          <t xml:space="preserve">  of which baited swims (x stake)</t>
        </is>
      </c>
      <c r="B18" s="12">
        <f>'Free Spins Feature'!B22</f>
        <v/>
      </c>
      <c r="C18" s="2" t="inlineStr">
        <is>
          <t>Exact</t>
        </is>
      </c>
    </row>
    <row r="19">
      <c r="A19" s="6" t="inlineStr">
        <is>
          <t>Expected catches per swim per feature</t>
        </is>
      </c>
      <c r="B19" s="14">
        <f>'Baited Swims'!$B$34</f>
        <v/>
      </c>
      <c r="C19" s="2" t="inlineStr">
        <is>
          <t>Exact (Baited Swims)</t>
        </is>
      </c>
    </row>
    <row r="20">
      <c r="A20" s="6" t="inlineStr">
        <is>
          <t>Volatility (standard deviation, x stake)</t>
        </is>
      </c>
      <c r="B20" s="15" t="n">
        <v>9.020970219398382</v>
      </c>
      <c r="C20" s="2" t="inlineStr">
        <is>
          <t>Simulation</t>
        </is>
      </c>
    </row>
    <row r="21">
      <c r="A21" s="6" t="inlineStr">
        <is>
          <t>Returns below stake (0 &lt; win &lt; 1x)</t>
        </is>
      </c>
      <c r="B21" s="8" t="n">
        <v>0.10832966</v>
      </c>
      <c r="C21" s="2" t="inlineStr">
        <is>
          <t>Simulation; not celebrated (RTS 14F)</t>
        </is>
      </c>
    </row>
    <row r="22">
      <c r="A22" s="6" t="inlineStr">
        <is>
          <t>Highest win in simulation (x stake)</t>
        </is>
      </c>
      <c r="B22" s="16" t="n">
        <v>5000</v>
      </c>
      <c r="C22" s="2" t="inlineStr">
        <is>
          <t>Simulation</t>
        </is>
      </c>
    </row>
    <row r="23">
      <c r="A23" s="6" t="inlineStr">
        <is>
          <t>Maximum win cap per round (x stake)</t>
        </is>
      </c>
      <c r="B23" s="17" t="n">
        <v>5000</v>
      </c>
      <c r="C23" s="2" t="inlineStr">
        <is>
          <t>engine.js MAX_WIN</t>
        </is>
      </c>
    </row>
    <row r="24">
      <c r="A24" s="6" t="inlineStr">
        <is>
          <t>Rounds that hit the cap in simulation</t>
        </is>
      </c>
      <c r="B24" s="18" t="n">
        <v>6</v>
      </c>
      <c r="C24" s="2" t="inlineStr">
        <is>
          <t>Simulation</t>
        </is>
      </c>
    </row>
    <row r="25">
      <c r="A25" s="6" t="inlineStr">
        <is>
          <t>Features that reach the cap: 1 in</t>
        </is>
      </c>
      <c r="B25" s="18" t="n">
        <v>39920.16367265469</v>
      </c>
      <c r="C25" s="2" t="inlineStr">
        <is>
          <t>Cap simulation (features with no cap)</t>
        </is>
      </c>
    </row>
    <row r="26">
      <c r="A26" s="6" t="inlineStr">
        <is>
          <t>Rounds that reach the cap: 1 in</t>
        </is>
      </c>
      <c r="B26" s="19">
        <f>B25/'Free Spins Feature'!B8</f>
        <v/>
      </c>
      <c r="C26" s="2" t="inlineStr">
        <is>
          <t>Features per cap hit / P(trigger)</t>
        </is>
      </c>
    </row>
    <row r="27">
      <c r="A27" s="6" t="inlineStr">
        <is>
          <t>Stake range (GB)</t>
        </is>
      </c>
      <c r="B27" s="20" t="inlineStr">
        <is>
          <t>£0.10 to £5.00 (£2.00 max for ages 18 to 24)</t>
        </is>
      </c>
      <c r="C27" s="2" t="inlineStr">
        <is>
          <t>GB online slots stake limits 2025; operator may set lower</t>
        </is>
      </c>
    </row>
    <row r="30">
      <c r="A30" s="2" t="inlineStr">
        <is>
          <t>Colour key: blue = input from game files or simulation; black = formula; green = link to another sheet.</t>
        </is>
      </c>
    </row>
    <row r="31">
      <c r="A31" s="2" t="inlineStr">
        <is>
          <t>Exact figures ignore the 5,000x cap. The simulation shows how rarely it is reached; its effect on RTP is a few thousandths of a percent.</t>
        </is>
      </c>
    </row>
    <row r="32">
      <c r="A32" s="2" t="inlineStr">
        <is>
          <t>Simulation uses the production engine (client/src/engine.js) with a seeded PRNG for repeatability.</t>
        </is>
      </c>
    </row>
    <row r="33">
      <c r="A33" s="2" t="inlineStr">
        <is>
          <t>Regenerate: node math/par_sheet.mjs 50000000 then python math/par_xlsx.py</t>
        </is>
      </c>
    </row>
    <row r="34">
      <c r="A34" s="2" t="inlineStr">
        <is>
          <t>This is the developer's design PAR. Certification by a UKGC-approved test house is required before real-money use.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22" customWidth="1" min="1" max="1"/>
    <col width="11" customWidth="1" min="2" max="2"/>
    <col width="8" customWidth="1" min="3" max="3"/>
    <col width="10" customWidth="1" min="4" max="4"/>
    <col width="10" customWidth="1" min="5" max="5"/>
    <col width="10" customWidth="1" min="6" max="6"/>
    <col width="11" customWidth="1" min="7" max="7"/>
    <col width="11" customWidth="1" min="8" max="8"/>
    <col width="11" customWidth="1" min="9" max="9"/>
  </cols>
  <sheetData>
    <row r="1">
      <c r="A1" s="1" t="inlineStr">
        <is>
          <t>Paytable (line pays)</t>
        </is>
      </c>
    </row>
    <row r="2">
      <c r="A2" s="2" t="inlineStr">
        <is>
          <t>Units are per line as stored in engine.js; x stake = units / 10 (10 lines, stake = total bet). Wild substitutes for all line symbols.</t>
        </is>
      </c>
    </row>
    <row r="4">
      <c r="A4" s="3" t="inlineStr">
        <is>
          <t>Symbol</t>
        </is>
      </c>
      <c r="B4" s="3" t="inlineStr">
        <is>
          <t>Code</t>
        </is>
      </c>
      <c r="C4" s="3" t="inlineStr">
        <is>
          <t>Tier</t>
        </is>
      </c>
      <c r="D4" s="3" t="inlineStr">
        <is>
          <t>3 (units)</t>
        </is>
      </c>
      <c r="E4" s="3" t="inlineStr">
        <is>
          <t>4 (units)</t>
        </is>
      </c>
      <c r="F4" s="3" t="inlineStr">
        <is>
          <t>5 (units)</t>
        </is>
      </c>
      <c r="G4" s="3" t="inlineStr">
        <is>
          <t>3 (x stake)</t>
        </is>
      </c>
      <c r="H4" s="3" t="inlineStr">
        <is>
          <t>4 (x stake)</t>
        </is>
      </c>
      <c r="I4" s="3" t="inlineStr">
        <is>
          <t>5 (x stake)</t>
        </is>
      </c>
    </row>
    <row r="5">
      <c r="A5" s="6" t="inlineStr">
        <is>
          <t>Float</t>
        </is>
      </c>
      <c r="B5" s="6" t="inlineStr">
        <is>
          <t>FLOAT</t>
        </is>
      </c>
      <c r="C5" s="6" t="inlineStr">
        <is>
          <t>Low</t>
        </is>
      </c>
      <c r="D5" s="20" t="n">
        <v>6</v>
      </c>
      <c r="E5" s="20" t="n">
        <v>15</v>
      </c>
      <c r="F5" s="20" t="n">
        <v>30</v>
      </c>
      <c r="G5" s="21">
        <f>D5/10</f>
        <v/>
      </c>
      <c r="H5" s="21">
        <f>E5/10</f>
        <v/>
      </c>
      <c r="I5" s="21">
        <f>F5/10</f>
        <v/>
      </c>
    </row>
    <row r="6">
      <c r="A6" s="6" t="inlineStr">
        <is>
          <t>Boilies</t>
        </is>
      </c>
      <c r="B6" s="6" t="inlineStr">
        <is>
          <t>BOILIE</t>
        </is>
      </c>
      <c r="C6" s="6" t="inlineStr">
        <is>
          <t>Low</t>
        </is>
      </c>
      <c r="D6" s="20" t="n">
        <v>6</v>
      </c>
      <c r="E6" s="20" t="n">
        <v>15</v>
      </c>
      <c r="F6" s="20" t="n">
        <v>30</v>
      </c>
      <c r="G6" s="21">
        <f>D6/10</f>
        <v/>
      </c>
      <c r="H6" s="21">
        <f>E6/10</f>
        <v/>
      </c>
      <c r="I6" s="21">
        <f>F6/10</f>
        <v/>
      </c>
    </row>
    <row r="7">
      <c r="A7" s="6" t="inlineStr">
        <is>
          <t>Sweetcorn</t>
        </is>
      </c>
      <c r="B7" s="6" t="inlineStr">
        <is>
          <t>CORN</t>
        </is>
      </c>
      <c r="C7" s="6" t="inlineStr">
        <is>
          <t>Low</t>
        </is>
      </c>
      <c r="D7" s="20" t="n">
        <v>9</v>
      </c>
      <c r="E7" s="20" t="n">
        <v>24</v>
      </c>
      <c r="F7" s="20" t="n">
        <v>45</v>
      </c>
      <c r="G7" s="21">
        <f>D7/10</f>
        <v/>
      </c>
      <c r="H7" s="21">
        <f>E7/10</f>
        <v/>
      </c>
      <c r="I7" s="21">
        <f>F7/10</f>
        <v/>
      </c>
    </row>
    <row r="8">
      <c r="A8" s="6" t="inlineStr">
        <is>
          <t>Luncheon Meat</t>
        </is>
      </c>
      <c r="B8" s="6" t="inlineStr">
        <is>
          <t>MEAT</t>
        </is>
      </c>
      <c r="C8" s="6" t="inlineStr">
        <is>
          <t>Low</t>
        </is>
      </c>
      <c r="D8" s="20" t="n">
        <v>9</v>
      </c>
      <c r="E8" s="20" t="n">
        <v>24</v>
      </c>
      <c r="F8" s="20" t="n">
        <v>45</v>
      </c>
      <c r="G8" s="21">
        <f>D8/10</f>
        <v/>
      </c>
      <c r="H8" s="21">
        <f>E8/10</f>
        <v/>
      </c>
      <c r="I8" s="21">
        <f>F8/10</f>
        <v/>
      </c>
    </row>
    <row r="9">
      <c r="A9" s="6" t="inlineStr">
        <is>
          <t>Flask</t>
        </is>
      </c>
      <c r="B9" s="6" t="inlineStr">
        <is>
          <t>FLASK</t>
        </is>
      </c>
      <c r="C9" s="6" t="inlineStr">
        <is>
          <t>Mid</t>
        </is>
      </c>
      <c r="D9" s="20" t="n">
        <v>12</v>
      </c>
      <c r="E9" s="20" t="n">
        <v>30</v>
      </c>
      <c r="F9" s="20" t="n">
        <v>75</v>
      </c>
      <c r="G9" s="21">
        <f>D9/10</f>
        <v/>
      </c>
      <c r="H9" s="21">
        <f>E9/10</f>
        <v/>
      </c>
      <c r="I9" s="21">
        <f>F9/10</f>
        <v/>
      </c>
    </row>
    <row r="10">
      <c r="A10" s="6" t="inlineStr">
        <is>
          <t>Catapult</t>
        </is>
      </c>
      <c r="B10" s="6" t="inlineStr">
        <is>
          <t>CATAPULT</t>
        </is>
      </c>
      <c r="C10" s="6" t="inlineStr">
        <is>
          <t>Mid</t>
        </is>
      </c>
      <c r="D10" s="20" t="n">
        <v>15</v>
      </c>
      <c r="E10" s="20" t="n">
        <v>36</v>
      </c>
      <c r="F10" s="20" t="n">
        <v>90</v>
      </c>
      <c r="G10" s="21">
        <f>D10/10</f>
        <v/>
      </c>
      <c r="H10" s="21">
        <f>E10/10</f>
        <v/>
      </c>
      <c r="I10" s="21">
        <f>F10/10</f>
        <v/>
      </c>
    </row>
    <row r="11">
      <c r="A11" s="6" t="inlineStr">
        <is>
          <t>Landing Net</t>
        </is>
      </c>
      <c r="B11" s="6" t="inlineStr">
        <is>
          <t>NET</t>
        </is>
      </c>
      <c r="C11" s="6" t="inlineStr">
        <is>
          <t>Mid</t>
        </is>
      </c>
      <c r="D11" s="20" t="n">
        <v>18</v>
      </c>
      <c r="E11" s="20" t="n">
        <v>45</v>
      </c>
      <c r="F11" s="20" t="n">
        <v>120</v>
      </c>
      <c r="G11" s="21">
        <f>D11/10</f>
        <v/>
      </c>
      <c r="H11" s="21">
        <f>E11/10</f>
        <v/>
      </c>
      <c r="I11" s="21">
        <f>F11/10</f>
        <v/>
      </c>
    </row>
    <row r="12">
      <c r="A12" s="6" t="inlineStr">
        <is>
          <t>Bivvy</t>
        </is>
      </c>
      <c r="B12" s="6" t="inlineStr">
        <is>
          <t>BIVVY</t>
        </is>
      </c>
      <c r="C12" s="6" t="inlineStr">
        <is>
          <t>Mid</t>
        </is>
      </c>
      <c r="D12" s="20" t="n">
        <v>24</v>
      </c>
      <c r="E12" s="20" t="n">
        <v>60</v>
      </c>
      <c r="F12" s="20" t="n">
        <v>150</v>
      </c>
      <c r="G12" s="21">
        <f>D12/10</f>
        <v/>
      </c>
      <c r="H12" s="21">
        <f>E12/10</f>
        <v/>
      </c>
      <c r="I12" s="21">
        <f>F12/10</f>
        <v/>
      </c>
    </row>
    <row r="13">
      <c r="A13" s="6" t="inlineStr">
        <is>
          <t>Roach</t>
        </is>
      </c>
      <c r="B13" s="6" t="inlineStr">
        <is>
          <t>ROACH</t>
        </is>
      </c>
      <c r="C13" s="6" t="inlineStr">
        <is>
          <t>High</t>
        </is>
      </c>
      <c r="D13" s="20" t="n">
        <v>30</v>
      </c>
      <c r="E13" s="20" t="n">
        <v>75</v>
      </c>
      <c r="F13" s="20" t="n">
        <v>180</v>
      </c>
      <c r="G13" s="21">
        <f>D13/10</f>
        <v/>
      </c>
      <c r="H13" s="21">
        <f>E13/10</f>
        <v/>
      </c>
      <c r="I13" s="21">
        <f>F13/10</f>
        <v/>
      </c>
    </row>
    <row r="14">
      <c r="A14" s="6" t="inlineStr">
        <is>
          <t>Bream</t>
        </is>
      </c>
      <c r="B14" s="6" t="inlineStr">
        <is>
          <t>BREAM</t>
        </is>
      </c>
      <c r="C14" s="6" t="inlineStr">
        <is>
          <t>High</t>
        </is>
      </c>
      <c r="D14" s="20" t="n">
        <v>36</v>
      </c>
      <c r="E14" s="20" t="n">
        <v>90</v>
      </c>
      <c r="F14" s="20" t="n">
        <v>240</v>
      </c>
      <c r="G14" s="21">
        <f>D14/10</f>
        <v/>
      </c>
      <c r="H14" s="21">
        <f>E14/10</f>
        <v/>
      </c>
      <c r="I14" s="21">
        <f>F14/10</f>
        <v/>
      </c>
    </row>
    <row r="15">
      <c r="A15" s="6" t="inlineStr">
        <is>
          <t>Tench</t>
        </is>
      </c>
      <c r="B15" s="6" t="inlineStr">
        <is>
          <t>TENCH</t>
        </is>
      </c>
      <c r="C15" s="6" t="inlineStr">
        <is>
          <t>High</t>
        </is>
      </c>
      <c r="D15" s="20" t="n">
        <v>45</v>
      </c>
      <c r="E15" s="20" t="n">
        <v>120</v>
      </c>
      <c r="F15" s="20" t="n">
        <v>360</v>
      </c>
      <c r="G15" s="21">
        <f>D15/10</f>
        <v/>
      </c>
      <c r="H15" s="21">
        <f>E15/10</f>
        <v/>
      </c>
      <c r="I15" s="21">
        <f>F15/10</f>
        <v/>
      </c>
    </row>
    <row r="16">
      <c r="A16" s="6" t="inlineStr">
        <is>
          <t>Mirror Carp</t>
        </is>
      </c>
      <c r="B16" s="6" t="inlineStr">
        <is>
          <t>MIRROR</t>
        </is>
      </c>
      <c r="C16" s="6" t="inlineStr">
        <is>
          <t>High</t>
        </is>
      </c>
      <c r="D16" s="20" t="n">
        <v>60</v>
      </c>
      <c r="E16" s="20" t="n">
        <v>225</v>
      </c>
      <c r="F16" s="20" t="n">
        <v>750</v>
      </c>
      <c r="G16" s="21">
        <f>D16/10</f>
        <v/>
      </c>
      <c r="H16" s="21">
        <f>E16/10</f>
        <v/>
      </c>
      <c r="I16" s="21">
        <f>F16/10</f>
        <v/>
      </c>
    </row>
    <row r="18">
      <c r="A18" s="2" t="inlineStr">
        <is>
          <t>Source: client/src/engine.js PAY table. Five wilds on a line pay as Mirror Carp x5.</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3" customWidth="1" min="7" max="7"/>
    <col width="10" customWidth="1" min="8" max="8"/>
    <col width="10" customWidth="1" min="9" max="9"/>
    <col width="10" customWidth="1" min="10" max="10"/>
    <col width="10" customWidth="1" min="11" max="11"/>
    <col width="10" customWidth="1" min="12" max="12"/>
  </cols>
  <sheetData>
    <row r="1">
      <c r="A1" s="1" t="inlineStr">
        <is>
          <t>Reel strip symbol counts and stop probabilities</t>
        </is>
      </c>
    </row>
    <row r="2">
      <c r="A2" s="2" t="inlineStr">
        <is>
          <t>Counts from client/strips.json (each reel stops uniformly on one of its 32 positions). Probability = count / strip length.</t>
        </is>
      </c>
    </row>
    <row r="4">
      <c r="A4" s="4" t="inlineStr">
        <is>
          <t>Base game strips</t>
        </is>
      </c>
    </row>
    <row r="5">
      <c r="A5" s="3" t="inlineStr">
        <is>
          <t>Symbol</t>
        </is>
      </c>
      <c r="B5" s="3" t="inlineStr">
        <is>
          <t>Reel 1</t>
        </is>
      </c>
      <c r="C5" s="3" t="inlineStr">
        <is>
          <t>Reel 2</t>
        </is>
      </c>
      <c r="D5" s="3" t="inlineStr">
        <is>
          <t>Reel 3</t>
        </is>
      </c>
      <c r="E5" s="3" t="inlineStr">
        <is>
          <t>Reel 4</t>
        </is>
      </c>
      <c r="F5" s="3" t="inlineStr">
        <is>
          <t>Reel 5</t>
        </is>
      </c>
      <c r="G5" s="3" t="inlineStr"/>
      <c r="H5" s="3" t="inlineStr">
        <is>
          <t>P reel 1</t>
        </is>
      </c>
      <c r="I5" s="3" t="inlineStr">
        <is>
          <t>P reel 2</t>
        </is>
      </c>
      <c r="J5" s="3" t="inlineStr">
        <is>
          <t>P reel 3</t>
        </is>
      </c>
      <c r="K5" s="3" t="inlineStr">
        <is>
          <t>P reel 4</t>
        </is>
      </c>
      <c r="L5" s="3" t="inlineStr">
        <is>
          <t>P reel 5</t>
        </is>
      </c>
    </row>
    <row r="6">
      <c r="A6" s="6" t="inlineStr">
        <is>
          <t>Float</t>
        </is>
      </c>
      <c r="B6" s="18" t="n">
        <v>6</v>
      </c>
      <c r="C6" s="18" t="n">
        <v>3</v>
      </c>
      <c r="D6" s="18" t="n">
        <v>3</v>
      </c>
      <c r="E6" s="18" t="n">
        <v>3</v>
      </c>
      <c r="F6" s="18" t="n">
        <v>4</v>
      </c>
      <c r="H6" s="22">
        <f>B6/B$21</f>
        <v/>
      </c>
      <c r="I6" s="22">
        <f>C6/C$21</f>
        <v/>
      </c>
      <c r="J6" s="22">
        <f>D6/D$21</f>
        <v/>
      </c>
      <c r="K6" s="22">
        <f>E6/E$21</f>
        <v/>
      </c>
      <c r="L6" s="22">
        <f>F6/F$21</f>
        <v/>
      </c>
    </row>
    <row r="7">
      <c r="A7" s="6" t="inlineStr">
        <is>
          <t>Boilies</t>
        </is>
      </c>
      <c r="B7" s="18" t="n">
        <v>6</v>
      </c>
      <c r="C7" s="18" t="n">
        <v>3</v>
      </c>
      <c r="D7" s="18" t="n">
        <v>3</v>
      </c>
      <c r="E7" s="18" t="n">
        <v>3</v>
      </c>
      <c r="F7" s="18" t="n">
        <v>4</v>
      </c>
      <c r="H7" s="22">
        <f>B7/B$21</f>
        <v/>
      </c>
      <c r="I7" s="22">
        <f>C7/C$21</f>
        <v/>
      </c>
      <c r="J7" s="22">
        <f>D7/D$21</f>
        <v/>
      </c>
      <c r="K7" s="22">
        <f>E7/E$21</f>
        <v/>
      </c>
      <c r="L7" s="22">
        <f>F7/F$21</f>
        <v/>
      </c>
    </row>
    <row r="8">
      <c r="A8" s="6" t="inlineStr">
        <is>
          <t>Sweetcorn</t>
        </is>
      </c>
      <c r="B8" s="18" t="n">
        <v>4</v>
      </c>
      <c r="C8" s="18" t="n">
        <v>4</v>
      </c>
      <c r="D8" s="18" t="n">
        <v>4</v>
      </c>
      <c r="E8" s="18" t="n">
        <v>4</v>
      </c>
      <c r="F8" s="18" t="n">
        <v>4</v>
      </c>
      <c r="H8" s="22">
        <f>B8/B$21</f>
        <v/>
      </c>
      <c r="I8" s="22">
        <f>C8/C$21</f>
        <v/>
      </c>
      <c r="J8" s="22">
        <f>D8/D$21</f>
        <v/>
      </c>
      <c r="K8" s="22">
        <f>E8/E$21</f>
        <v/>
      </c>
      <c r="L8" s="22">
        <f>F8/F$21</f>
        <v/>
      </c>
    </row>
    <row r="9">
      <c r="A9" s="6" t="inlineStr">
        <is>
          <t>Luncheon Meat</t>
        </is>
      </c>
      <c r="B9" s="18" t="n">
        <v>3</v>
      </c>
      <c r="C9" s="18" t="n">
        <v>4</v>
      </c>
      <c r="D9" s="18" t="n">
        <v>4</v>
      </c>
      <c r="E9" s="18" t="n">
        <v>4</v>
      </c>
      <c r="F9" s="18" t="n">
        <v>4</v>
      </c>
      <c r="H9" s="22">
        <f>B9/B$21</f>
        <v/>
      </c>
      <c r="I9" s="22">
        <f>C9/C$21</f>
        <v/>
      </c>
      <c r="J9" s="22">
        <f>D9/D$21</f>
        <v/>
      </c>
      <c r="K9" s="22">
        <f>E9/E$21</f>
        <v/>
      </c>
      <c r="L9" s="22">
        <f>F9/F$21</f>
        <v/>
      </c>
    </row>
    <row r="10">
      <c r="A10" s="6" t="inlineStr">
        <is>
          <t>Flask</t>
        </is>
      </c>
      <c r="B10" s="18" t="n">
        <v>3</v>
      </c>
      <c r="C10" s="18" t="n">
        <v>3</v>
      </c>
      <c r="D10" s="18" t="n">
        <v>3</v>
      </c>
      <c r="E10" s="18" t="n">
        <v>3</v>
      </c>
      <c r="F10" s="18" t="n">
        <v>3</v>
      </c>
      <c r="H10" s="22">
        <f>B10/B$21</f>
        <v/>
      </c>
      <c r="I10" s="22">
        <f>C10/C$21</f>
        <v/>
      </c>
      <c r="J10" s="22">
        <f>D10/D$21</f>
        <v/>
      </c>
      <c r="K10" s="22">
        <f>E10/E$21</f>
        <v/>
      </c>
      <c r="L10" s="22">
        <f>F10/F$21</f>
        <v/>
      </c>
    </row>
    <row r="11">
      <c r="A11" s="6" t="inlineStr">
        <is>
          <t>Catapult</t>
        </is>
      </c>
      <c r="B11" s="18" t="n">
        <v>3</v>
      </c>
      <c r="C11" s="18" t="n">
        <v>2</v>
      </c>
      <c r="D11" s="18" t="n">
        <v>2</v>
      </c>
      <c r="E11" s="18" t="n">
        <v>2</v>
      </c>
      <c r="F11" s="18" t="n">
        <v>3</v>
      </c>
      <c r="H11" s="22">
        <f>B11/B$21</f>
        <v/>
      </c>
      <c r="I11" s="22">
        <f>C11/C$21</f>
        <v/>
      </c>
      <c r="J11" s="22">
        <f>D11/D$21</f>
        <v/>
      </c>
      <c r="K11" s="22">
        <f>E11/E$21</f>
        <v/>
      </c>
      <c r="L11" s="22">
        <f>F11/F$21</f>
        <v/>
      </c>
    </row>
    <row r="12">
      <c r="A12" s="6" t="inlineStr">
        <is>
          <t>Landing Net</t>
        </is>
      </c>
      <c r="B12" s="18" t="n">
        <v>2</v>
      </c>
      <c r="C12" s="18" t="n">
        <v>2</v>
      </c>
      <c r="D12" s="18" t="n">
        <v>2</v>
      </c>
      <c r="E12" s="18" t="n">
        <v>2</v>
      </c>
      <c r="F12" s="18" t="n">
        <v>2</v>
      </c>
      <c r="H12" s="22">
        <f>B12/B$21</f>
        <v/>
      </c>
      <c r="I12" s="22">
        <f>C12/C$21</f>
        <v/>
      </c>
      <c r="J12" s="22">
        <f>D12/D$21</f>
        <v/>
      </c>
      <c r="K12" s="22">
        <f>E12/E$21</f>
        <v/>
      </c>
      <c r="L12" s="22">
        <f>F12/F$21</f>
        <v/>
      </c>
    </row>
    <row r="13">
      <c r="A13" s="6" t="inlineStr">
        <is>
          <t>Bivvy</t>
        </is>
      </c>
      <c r="B13" s="18" t="n">
        <v>1</v>
      </c>
      <c r="C13" s="18" t="n">
        <v>2</v>
      </c>
      <c r="D13" s="18" t="n">
        <v>2</v>
      </c>
      <c r="E13" s="18" t="n">
        <v>2</v>
      </c>
      <c r="F13" s="18" t="n">
        <v>2</v>
      </c>
      <c r="H13" s="22">
        <f>B13/B$21</f>
        <v/>
      </c>
      <c r="I13" s="22">
        <f>C13/C$21</f>
        <v/>
      </c>
      <c r="J13" s="22">
        <f>D13/D$21</f>
        <v/>
      </c>
      <c r="K13" s="22">
        <f>E13/E$21</f>
        <v/>
      </c>
      <c r="L13" s="22">
        <f>F13/F$21</f>
        <v/>
      </c>
    </row>
    <row r="14">
      <c r="A14" s="6" t="inlineStr">
        <is>
          <t>Roach</t>
        </is>
      </c>
      <c r="B14" s="18" t="n">
        <v>1</v>
      </c>
      <c r="C14" s="18" t="n">
        <v>1</v>
      </c>
      <c r="D14" s="18" t="n">
        <v>1</v>
      </c>
      <c r="E14" s="18" t="n">
        <v>1</v>
      </c>
      <c r="F14" s="18" t="n">
        <v>1</v>
      </c>
      <c r="H14" s="22">
        <f>B14/B$21</f>
        <v/>
      </c>
      <c r="I14" s="22">
        <f>C14/C$21</f>
        <v/>
      </c>
      <c r="J14" s="22">
        <f>D14/D$21</f>
        <v/>
      </c>
      <c r="K14" s="22">
        <f>E14/E$21</f>
        <v/>
      </c>
      <c r="L14" s="22">
        <f>F14/F$21</f>
        <v/>
      </c>
    </row>
    <row r="15">
      <c r="A15" s="6" t="inlineStr">
        <is>
          <t>Bream</t>
        </is>
      </c>
      <c r="B15" s="18" t="n">
        <v>1</v>
      </c>
      <c r="C15" s="18" t="n">
        <v>1</v>
      </c>
      <c r="D15" s="18" t="n">
        <v>1</v>
      </c>
      <c r="E15" s="18" t="n">
        <v>1</v>
      </c>
      <c r="F15" s="18" t="n">
        <v>1</v>
      </c>
      <c r="H15" s="22">
        <f>B15/B$21</f>
        <v/>
      </c>
      <c r="I15" s="22">
        <f>C15/C$21</f>
        <v/>
      </c>
      <c r="J15" s="22">
        <f>D15/D$21</f>
        <v/>
      </c>
      <c r="K15" s="22">
        <f>E15/E$21</f>
        <v/>
      </c>
      <c r="L15" s="22">
        <f>F15/F$21</f>
        <v/>
      </c>
    </row>
    <row r="16">
      <c r="A16" s="6" t="inlineStr">
        <is>
          <t>Tench</t>
        </is>
      </c>
      <c r="B16" s="18" t="n">
        <v>1</v>
      </c>
      <c r="C16" s="18" t="n">
        <v>1</v>
      </c>
      <c r="D16" s="18" t="n">
        <v>1</v>
      </c>
      <c r="E16" s="18" t="n">
        <v>1</v>
      </c>
      <c r="F16" s="18" t="n">
        <v>1</v>
      </c>
      <c r="H16" s="22">
        <f>B16/B$21</f>
        <v/>
      </c>
      <c r="I16" s="22">
        <f>C16/C$21</f>
        <v/>
      </c>
      <c r="J16" s="22">
        <f>D16/D$21</f>
        <v/>
      </c>
      <c r="K16" s="22">
        <f>E16/E$21</f>
        <v/>
      </c>
      <c r="L16" s="22">
        <f>F16/F$21</f>
        <v/>
      </c>
    </row>
    <row r="17">
      <c r="A17" s="6" t="inlineStr">
        <is>
          <t>Mirror Carp</t>
        </is>
      </c>
      <c r="B17" s="18" t="n">
        <v>1</v>
      </c>
      <c r="C17" s="18" t="n">
        <v>1</v>
      </c>
      <c r="D17" s="18" t="n">
        <v>1</v>
      </c>
      <c r="E17" s="18" t="n">
        <v>1</v>
      </c>
      <c r="F17" s="18" t="n">
        <v>1</v>
      </c>
      <c r="H17" s="22">
        <f>B17/B$21</f>
        <v/>
      </c>
      <c r="I17" s="22">
        <f>C17/C$21</f>
        <v/>
      </c>
      <c r="J17" s="22">
        <f>D17/D$21</f>
        <v/>
      </c>
      <c r="K17" s="22">
        <f>E17/E$21</f>
        <v/>
      </c>
      <c r="L17" s="22">
        <f>F17/F$21</f>
        <v/>
      </c>
    </row>
    <row r="18">
      <c r="A18" s="6" t="inlineStr">
        <is>
          <t>Leather Carp (Wild)</t>
        </is>
      </c>
      <c r="B18" s="18" t="n">
        <v>0</v>
      </c>
      <c r="C18" s="18" t="n">
        <v>3</v>
      </c>
      <c r="D18" s="18" t="n">
        <v>3</v>
      </c>
      <c r="E18" s="18" t="n">
        <v>3</v>
      </c>
      <c r="F18" s="18" t="n">
        <v>2</v>
      </c>
      <c r="H18" s="22">
        <f>B18/B$21</f>
        <v/>
      </c>
      <c r="I18" s="22">
        <f>C18/C$21</f>
        <v/>
      </c>
      <c r="J18" s="22">
        <f>D18/D$21</f>
        <v/>
      </c>
      <c r="K18" s="22">
        <f>E18/E$21</f>
        <v/>
      </c>
      <c r="L18" s="22">
        <f>F18/F$21</f>
        <v/>
      </c>
    </row>
    <row r="19">
      <c r="A19" s="6" t="inlineStr">
        <is>
          <t>Bite Alarm (Scatter)</t>
        </is>
      </c>
      <c r="B19" s="18" t="n">
        <v>0</v>
      </c>
      <c r="C19" s="18" t="n">
        <v>2</v>
      </c>
      <c r="D19" s="18" t="n">
        <v>2</v>
      </c>
      <c r="E19" s="18" t="n">
        <v>2</v>
      </c>
      <c r="F19" s="18" t="n">
        <v>0</v>
      </c>
      <c r="H19" s="22">
        <f>B19/B$21</f>
        <v/>
      </c>
      <c r="I19" s="22">
        <f>C19/C$21</f>
        <v/>
      </c>
      <c r="J19" s="22">
        <f>D19/D$21</f>
        <v/>
      </c>
      <c r="K19" s="22">
        <f>E19/E$21</f>
        <v/>
      </c>
      <c r="L19" s="22">
        <f>F19/F$21</f>
        <v/>
      </c>
    </row>
    <row r="20">
      <c r="A20" s="6" t="inlineStr">
        <is>
          <t>Specimen Fish (Cash)</t>
        </is>
      </c>
      <c r="B20" s="18" t="n">
        <v>0</v>
      </c>
      <c r="C20" s="18" t="n">
        <v>0</v>
      </c>
      <c r="D20" s="18" t="n">
        <v>0</v>
      </c>
      <c r="E20" s="18" t="n">
        <v>0</v>
      </c>
      <c r="F20" s="18" t="n">
        <v>0</v>
      </c>
      <c r="H20" s="22">
        <f>B20/B$21</f>
        <v/>
      </c>
      <c r="I20" s="22">
        <f>C20/C$21</f>
        <v/>
      </c>
      <c r="J20" s="22">
        <f>D20/D$21</f>
        <v/>
      </c>
      <c r="K20" s="22">
        <f>E20/E$21</f>
        <v/>
      </c>
      <c r="L20" s="22">
        <f>F20/F$21</f>
        <v/>
      </c>
    </row>
    <row r="21">
      <c r="A21" s="4" t="inlineStr">
        <is>
          <t>Strip length</t>
        </is>
      </c>
      <c r="B21" s="19">
        <f>SUM(B6:B20)</f>
        <v/>
      </c>
      <c r="C21" s="19">
        <f>SUM(C6:C20)</f>
        <v/>
      </c>
      <c r="D21" s="19">
        <f>SUM(D6:D20)</f>
        <v/>
      </c>
      <c r="E21" s="19">
        <f>SUM(E6:E20)</f>
        <v/>
      </c>
      <c r="F21" s="19">
        <f>SUM(F6:F20)</f>
        <v/>
      </c>
    </row>
    <row r="23">
      <c r="A23" s="4" t="inlineStr">
        <is>
          <t>Free spins strips</t>
        </is>
      </c>
    </row>
    <row r="24">
      <c r="A24" s="3" t="inlineStr">
        <is>
          <t>Symbol</t>
        </is>
      </c>
      <c r="B24" s="3" t="inlineStr">
        <is>
          <t>Reel 1</t>
        </is>
      </c>
      <c r="C24" s="3" t="inlineStr">
        <is>
          <t>Reel 2</t>
        </is>
      </c>
      <c r="D24" s="3" t="inlineStr">
        <is>
          <t>Reel 3</t>
        </is>
      </c>
      <c r="E24" s="3" t="inlineStr">
        <is>
          <t>Reel 4</t>
        </is>
      </c>
      <c r="F24" s="3" t="inlineStr">
        <is>
          <t>Reel 5</t>
        </is>
      </c>
      <c r="G24" s="3" t="inlineStr"/>
      <c r="H24" s="3" t="inlineStr">
        <is>
          <t>P reel 1</t>
        </is>
      </c>
      <c r="I24" s="3" t="inlineStr">
        <is>
          <t>P reel 2</t>
        </is>
      </c>
      <c r="J24" s="3" t="inlineStr">
        <is>
          <t>P reel 3</t>
        </is>
      </c>
      <c r="K24" s="3" t="inlineStr">
        <is>
          <t>P reel 4</t>
        </is>
      </c>
      <c r="L24" s="3" t="inlineStr">
        <is>
          <t>P reel 5</t>
        </is>
      </c>
    </row>
    <row r="25">
      <c r="A25" s="6" t="inlineStr">
        <is>
          <t>Float</t>
        </is>
      </c>
      <c r="B25" s="18" t="n">
        <v>4</v>
      </c>
      <c r="C25" s="18" t="n">
        <v>2</v>
      </c>
      <c r="D25" s="18" t="n">
        <v>2</v>
      </c>
      <c r="E25" s="18" t="n">
        <v>2</v>
      </c>
      <c r="F25" s="18" t="n">
        <v>3</v>
      </c>
      <c r="H25" s="22">
        <f>B25/B$40</f>
        <v/>
      </c>
      <c r="I25" s="22">
        <f>C25/C$40</f>
        <v/>
      </c>
      <c r="J25" s="22">
        <f>D25/D$40</f>
        <v/>
      </c>
      <c r="K25" s="22">
        <f>E25/E$40</f>
        <v/>
      </c>
      <c r="L25" s="22">
        <f>F25/F$40</f>
        <v/>
      </c>
    </row>
    <row r="26">
      <c r="A26" s="6" t="inlineStr">
        <is>
          <t>Boilies</t>
        </is>
      </c>
      <c r="B26" s="18" t="n">
        <v>5</v>
      </c>
      <c r="C26" s="18" t="n">
        <v>3</v>
      </c>
      <c r="D26" s="18" t="n">
        <v>3</v>
      </c>
      <c r="E26" s="18" t="n">
        <v>3</v>
      </c>
      <c r="F26" s="18" t="n">
        <v>3</v>
      </c>
      <c r="H26" s="22">
        <f>B26/B$40</f>
        <v/>
      </c>
      <c r="I26" s="22">
        <f>C26/C$40</f>
        <v/>
      </c>
      <c r="J26" s="22">
        <f>D26/D$40</f>
        <v/>
      </c>
      <c r="K26" s="22">
        <f>E26/E$40</f>
        <v/>
      </c>
      <c r="L26" s="22">
        <f>F26/F$40</f>
        <v/>
      </c>
    </row>
    <row r="27">
      <c r="A27" s="6" t="inlineStr">
        <is>
          <t>Sweetcorn</t>
        </is>
      </c>
      <c r="B27" s="18" t="n">
        <v>4</v>
      </c>
      <c r="C27" s="18" t="n">
        <v>3</v>
      </c>
      <c r="D27" s="18" t="n">
        <v>3</v>
      </c>
      <c r="E27" s="18" t="n">
        <v>3</v>
      </c>
      <c r="F27" s="18" t="n">
        <v>3</v>
      </c>
      <c r="H27" s="22">
        <f>B27/B$40</f>
        <v/>
      </c>
      <c r="I27" s="22">
        <f>C27/C$40</f>
        <v/>
      </c>
      <c r="J27" s="22">
        <f>D27/D$40</f>
        <v/>
      </c>
      <c r="K27" s="22">
        <f>E27/E$40</f>
        <v/>
      </c>
      <c r="L27" s="22">
        <f>F27/F$40</f>
        <v/>
      </c>
    </row>
    <row r="28">
      <c r="A28" s="6" t="inlineStr">
        <is>
          <t>Luncheon Meat</t>
        </is>
      </c>
      <c r="B28" s="18" t="n">
        <v>3</v>
      </c>
      <c r="C28" s="18" t="n">
        <v>3</v>
      </c>
      <c r="D28" s="18" t="n">
        <v>3</v>
      </c>
      <c r="E28" s="18" t="n">
        <v>3</v>
      </c>
      <c r="F28" s="18" t="n">
        <v>4</v>
      </c>
      <c r="H28" s="22">
        <f>B28/B$40</f>
        <v/>
      </c>
      <c r="I28" s="22">
        <f>C28/C$40</f>
        <v/>
      </c>
      <c r="J28" s="22">
        <f>D28/D$40</f>
        <v/>
      </c>
      <c r="K28" s="22">
        <f>E28/E$40</f>
        <v/>
      </c>
      <c r="L28" s="22">
        <f>F28/F$40</f>
        <v/>
      </c>
    </row>
    <row r="29">
      <c r="A29" s="6" t="inlineStr">
        <is>
          <t>Flask</t>
        </is>
      </c>
      <c r="B29" s="18" t="n">
        <v>3</v>
      </c>
      <c r="C29" s="18" t="n">
        <v>3</v>
      </c>
      <c r="D29" s="18" t="n">
        <v>3</v>
      </c>
      <c r="E29" s="18" t="n">
        <v>3</v>
      </c>
      <c r="F29" s="18" t="n">
        <v>3</v>
      </c>
      <c r="H29" s="22">
        <f>B29/B$40</f>
        <v/>
      </c>
      <c r="I29" s="22">
        <f>C29/C$40</f>
        <v/>
      </c>
      <c r="J29" s="22">
        <f>D29/D$40</f>
        <v/>
      </c>
      <c r="K29" s="22">
        <f>E29/E$40</f>
        <v/>
      </c>
      <c r="L29" s="22">
        <f>F29/F$40</f>
        <v/>
      </c>
    </row>
    <row r="30">
      <c r="A30" s="6" t="inlineStr">
        <is>
          <t>Catapult</t>
        </is>
      </c>
      <c r="B30" s="18" t="n">
        <v>3</v>
      </c>
      <c r="C30" s="18" t="n">
        <v>2</v>
      </c>
      <c r="D30" s="18" t="n">
        <v>2</v>
      </c>
      <c r="E30" s="18" t="n">
        <v>2</v>
      </c>
      <c r="F30" s="18" t="n">
        <v>3</v>
      </c>
      <c r="H30" s="22">
        <f>B30/B$40</f>
        <v/>
      </c>
      <c r="I30" s="22">
        <f>C30/C$40</f>
        <v/>
      </c>
      <c r="J30" s="22">
        <f>D30/D$40</f>
        <v/>
      </c>
      <c r="K30" s="22">
        <f>E30/E$40</f>
        <v/>
      </c>
      <c r="L30" s="22">
        <f>F30/F$40</f>
        <v/>
      </c>
    </row>
    <row r="31">
      <c r="A31" s="6" t="inlineStr">
        <is>
          <t>Landing Net</t>
        </is>
      </c>
      <c r="B31" s="18" t="n">
        <v>2</v>
      </c>
      <c r="C31" s="18" t="n">
        <v>2</v>
      </c>
      <c r="D31" s="18" t="n">
        <v>2</v>
      </c>
      <c r="E31" s="18" t="n">
        <v>2</v>
      </c>
      <c r="F31" s="18" t="n">
        <v>2</v>
      </c>
      <c r="H31" s="22">
        <f>B31/B$40</f>
        <v/>
      </c>
      <c r="I31" s="22">
        <f>C31/C$40</f>
        <v/>
      </c>
      <c r="J31" s="22">
        <f>D31/D$40</f>
        <v/>
      </c>
      <c r="K31" s="22">
        <f>E31/E$40</f>
        <v/>
      </c>
      <c r="L31" s="22">
        <f>F31/F$40</f>
        <v/>
      </c>
    </row>
    <row r="32">
      <c r="A32" s="6" t="inlineStr">
        <is>
          <t>Bivvy</t>
        </is>
      </c>
      <c r="B32" s="18" t="n">
        <v>1</v>
      </c>
      <c r="C32" s="18" t="n">
        <v>2</v>
      </c>
      <c r="D32" s="18" t="n">
        <v>2</v>
      </c>
      <c r="E32" s="18" t="n">
        <v>2</v>
      </c>
      <c r="F32" s="18" t="n">
        <v>2</v>
      </c>
      <c r="H32" s="22">
        <f>B32/B$40</f>
        <v/>
      </c>
      <c r="I32" s="22">
        <f>C32/C$40</f>
        <v/>
      </c>
      <c r="J32" s="22">
        <f>D32/D$40</f>
        <v/>
      </c>
      <c r="K32" s="22">
        <f>E32/E$40</f>
        <v/>
      </c>
      <c r="L32" s="22">
        <f>F32/F$40</f>
        <v/>
      </c>
    </row>
    <row r="33">
      <c r="A33" s="6" t="inlineStr">
        <is>
          <t>Roach</t>
        </is>
      </c>
      <c r="B33" s="18" t="n">
        <v>1</v>
      </c>
      <c r="C33" s="18" t="n">
        <v>1</v>
      </c>
      <c r="D33" s="18" t="n">
        <v>1</v>
      </c>
      <c r="E33" s="18" t="n">
        <v>1</v>
      </c>
      <c r="F33" s="18" t="n">
        <v>1</v>
      </c>
      <c r="H33" s="22">
        <f>B33/B$40</f>
        <v/>
      </c>
      <c r="I33" s="22">
        <f>C33/C$40</f>
        <v/>
      </c>
      <c r="J33" s="22">
        <f>D33/D$40</f>
        <v/>
      </c>
      <c r="K33" s="22">
        <f>E33/E$40</f>
        <v/>
      </c>
      <c r="L33" s="22">
        <f>F33/F$40</f>
        <v/>
      </c>
    </row>
    <row r="34">
      <c r="A34" s="6" t="inlineStr">
        <is>
          <t>Bream</t>
        </is>
      </c>
      <c r="B34" s="18" t="n">
        <v>1</v>
      </c>
      <c r="C34" s="18" t="n">
        <v>1</v>
      </c>
      <c r="D34" s="18" t="n">
        <v>1</v>
      </c>
      <c r="E34" s="18" t="n">
        <v>1</v>
      </c>
      <c r="F34" s="18" t="n">
        <v>1</v>
      </c>
      <c r="H34" s="22">
        <f>B34/B$40</f>
        <v/>
      </c>
      <c r="I34" s="22">
        <f>C34/C$40</f>
        <v/>
      </c>
      <c r="J34" s="22">
        <f>D34/D$40</f>
        <v/>
      </c>
      <c r="K34" s="22">
        <f>E34/E$40</f>
        <v/>
      </c>
      <c r="L34" s="22">
        <f>F34/F$40</f>
        <v/>
      </c>
    </row>
    <row r="35">
      <c r="A35" s="6" t="inlineStr">
        <is>
          <t>Tench</t>
        </is>
      </c>
      <c r="B35" s="18" t="n">
        <v>1</v>
      </c>
      <c r="C35" s="18" t="n">
        <v>1</v>
      </c>
      <c r="D35" s="18" t="n">
        <v>1</v>
      </c>
      <c r="E35" s="18" t="n">
        <v>1</v>
      </c>
      <c r="F35" s="18" t="n">
        <v>1</v>
      </c>
      <c r="H35" s="22">
        <f>B35/B$40</f>
        <v/>
      </c>
      <c r="I35" s="22">
        <f>C35/C$40</f>
        <v/>
      </c>
      <c r="J35" s="22">
        <f>D35/D$40</f>
        <v/>
      </c>
      <c r="K35" s="22">
        <f>E35/E$40</f>
        <v/>
      </c>
      <c r="L35" s="22">
        <f>F35/F$40</f>
        <v/>
      </c>
    </row>
    <row r="36">
      <c r="A36" s="6" t="inlineStr">
        <is>
          <t>Mirror Carp</t>
        </is>
      </c>
      <c r="B36" s="18" t="n">
        <v>1</v>
      </c>
      <c r="C36" s="18" t="n">
        <v>1</v>
      </c>
      <c r="D36" s="18" t="n">
        <v>1</v>
      </c>
      <c r="E36" s="18" t="n">
        <v>1</v>
      </c>
      <c r="F36" s="18" t="n">
        <v>1</v>
      </c>
      <c r="H36" s="22">
        <f>B36/B$40</f>
        <v/>
      </c>
      <c r="I36" s="22">
        <f>C36/C$40</f>
        <v/>
      </c>
      <c r="J36" s="22">
        <f>D36/D$40</f>
        <v/>
      </c>
      <c r="K36" s="22">
        <f>E36/E$40</f>
        <v/>
      </c>
      <c r="L36" s="22">
        <f>F36/F$40</f>
        <v/>
      </c>
    </row>
    <row r="37">
      <c r="A37" s="6" t="inlineStr">
        <is>
          <t>Leather Carp (Wild)</t>
        </is>
      </c>
      <c r="B37" s="18" t="n">
        <v>0</v>
      </c>
      <c r="C37" s="18" t="n">
        <v>3</v>
      </c>
      <c r="D37" s="18" t="n">
        <v>3</v>
      </c>
      <c r="E37" s="18" t="n">
        <v>3</v>
      </c>
      <c r="F37" s="18" t="n">
        <v>2</v>
      </c>
      <c r="H37" s="22">
        <f>B37/B$40</f>
        <v/>
      </c>
      <c r="I37" s="22">
        <f>C37/C$40</f>
        <v/>
      </c>
      <c r="J37" s="22">
        <f>D37/D$40</f>
        <v/>
      </c>
      <c r="K37" s="22">
        <f>E37/E$40</f>
        <v/>
      </c>
      <c r="L37" s="22">
        <f>F37/F$40</f>
        <v/>
      </c>
    </row>
    <row r="38">
      <c r="A38" s="6" t="inlineStr">
        <is>
          <t>Bite Alarm (Scatter)</t>
        </is>
      </c>
      <c r="B38" s="18" t="n">
        <v>0</v>
      </c>
      <c r="C38" s="18" t="n">
        <v>2</v>
      </c>
      <c r="D38" s="18" t="n">
        <v>2</v>
      </c>
      <c r="E38" s="18" t="n">
        <v>2</v>
      </c>
      <c r="F38" s="18" t="n">
        <v>0</v>
      </c>
      <c r="H38" s="22">
        <f>B38/B$40</f>
        <v/>
      </c>
      <c r="I38" s="22">
        <f>C38/C$40</f>
        <v/>
      </c>
      <c r="J38" s="22">
        <f>D38/D$40</f>
        <v/>
      </c>
      <c r="K38" s="22">
        <f>E38/E$40</f>
        <v/>
      </c>
      <c r="L38" s="22">
        <f>F38/F$40</f>
        <v/>
      </c>
    </row>
    <row r="39">
      <c r="A39" s="6" t="inlineStr">
        <is>
          <t>Specimen Fish (Cash)</t>
        </is>
      </c>
      <c r="B39" s="18" t="n">
        <v>3</v>
      </c>
      <c r="C39" s="18" t="n">
        <v>3</v>
      </c>
      <c r="D39" s="18" t="n">
        <v>3</v>
      </c>
      <c r="E39" s="18" t="n">
        <v>3</v>
      </c>
      <c r="F39" s="18" t="n">
        <v>3</v>
      </c>
      <c r="H39" s="22">
        <f>B39/B$40</f>
        <v/>
      </c>
      <c r="I39" s="22">
        <f>C39/C$40</f>
        <v/>
      </c>
      <c r="J39" s="22">
        <f>D39/D$40</f>
        <v/>
      </c>
      <c r="K39" s="22">
        <f>E39/E$40</f>
        <v/>
      </c>
      <c r="L39" s="22">
        <f>F39/F$40</f>
        <v/>
      </c>
    </row>
    <row r="40">
      <c r="A40" s="4" t="inlineStr">
        <is>
          <t>Strip length</t>
        </is>
      </c>
      <c r="B40" s="19">
        <f>SUM(B25:B39)</f>
        <v/>
      </c>
      <c r="C40" s="19">
        <f>SUM(C25:C39)</f>
        <v/>
      </c>
      <c r="D40" s="19">
        <f>SUM(D25:D39)</f>
        <v/>
      </c>
      <c r="E40" s="19">
        <f>SUM(E25:E39)</f>
        <v/>
      </c>
      <c r="F40" s="19">
        <f>SUM(F25:F39)</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cols>
    <col width="22" customWidth="1" min="1" max="1"/>
    <col width="8" customWidth="1" min="2" max="2"/>
    <col width="14" customWidth="1" min="3" max="3"/>
    <col width="13" customWidth="1" min="4" max="4"/>
    <col width="16" customWidth="1" min="5" max="5"/>
    <col width="18" customWidth="1" min="6" max="6"/>
  </cols>
  <sheetData>
    <row r="1">
      <c r="A1" s="1" t="inlineStr">
        <is>
          <t>Line Wins Base: exact probability per payline</t>
        </is>
      </c>
    </row>
    <row r="2">
      <c r="A2" s="2" t="inlineStr">
        <is>
          <t>Formula: the first non-wild symbol on the line is the target; wilds before/after it count; the next symbol must break the run. Probabilities come from Reel Strips; RTP contribution = probability x pay (x stake) x 10 lines.</t>
        </is>
      </c>
    </row>
    <row r="3">
      <c r="A3" s="2" t="inlineStr">
        <is>
          <t>Ordinary base spins, before the kingfisher (see the Kingfisher sheet for how it changes the base game).</t>
        </is>
      </c>
    </row>
    <row r="4">
      <c r="A4" s="3" t="inlineStr">
        <is>
          <t>Symbol</t>
        </is>
      </c>
      <c r="B4" s="3" t="inlineStr">
        <is>
          <t>Count</t>
        </is>
      </c>
      <c r="C4" s="3" t="inlineStr">
        <is>
          <t>P (per line)</t>
        </is>
      </c>
      <c r="D4" s="3" t="inlineStr">
        <is>
          <t>Pay (x stake)</t>
        </is>
      </c>
      <c r="E4" s="3" t="inlineStr">
        <is>
          <t>RTP contribution</t>
        </is>
      </c>
      <c r="F4" s="3" t="inlineStr">
        <is>
          <t>Check: engine exact</t>
        </is>
      </c>
    </row>
    <row r="5">
      <c r="A5" s="6" t="inlineStr">
        <is>
          <t>Float</t>
        </is>
      </c>
      <c r="B5" s="19" t="n">
        <v>3</v>
      </c>
      <c r="C5" s="23">
        <f>'Reel Strips'!$H$6*('Reel Strips'!$I$6+'Reel Strips'!$I$18)*('Reel Strips'!$J$6+'Reel Strips'!$J$18)*(1-'Reel Strips'!$K$6-'Reel Strips'!$K$18)+'Reel Strips'!$H$18*'Reel Strips'!$I$6*('Reel Strips'!$J$6+'Reel Strips'!$J$18)*(1-'Reel Strips'!$K$6-'Reel Strips'!$K$18)+'Reel Strips'!$H$18*'Reel Strips'!$I$18*'Reel Strips'!$J$6*(1-'Reel Strips'!$K$6-'Reel Strips'!$K$18)</f>
        <v/>
      </c>
      <c r="D5" s="12">
        <f>Paytable!G5</f>
        <v/>
      </c>
      <c r="E5" s="24">
        <f>C5*D5*10</f>
        <v/>
      </c>
      <c r="F5" s="25" t="n">
        <v>0.0053558349609375</v>
      </c>
    </row>
    <row r="6">
      <c r="A6" s="6" t="inlineStr">
        <is>
          <t>Float</t>
        </is>
      </c>
      <c r="B6" s="19" t="n">
        <v>4</v>
      </c>
      <c r="C6" s="23">
        <f>'Reel Strips'!$H$6*('Reel Strips'!$I$6+'Reel Strips'!$I$18)*('Reel Strips'!$J$6+'Reel Strips'!$J$18)*('Reel Strips'!$K$6+'Reel Strips'!$K$18)*(1-'Reel Strips'!$L$6-'Reel Strips'!$L$18)+'Reel Strips'!$H$18*'Reel Strips'!$I$6*('Reel Strips'!$J$6+'Reel Strips'!$J$18)*('Reel Strips'!$K$6+'Reel Strips'!$K$18)*(1-'Reel Strips'!$L$6-'Reel Strips'!$L$18)+'Reel Strips'!$H$18*'Reel Strips'!$I$18*'Reel Strips'!$J$6*('Reel Strips'!$K$6+'Reel Strips'!$K$18)*(1-'Reel Strips'!$L$6-'Reel Strips'!$L$18)+'Reel Strips'!$H$18*'Reel Strips'!$I$18*'Reel Strips'!$J$18*'Reel Strips'!$K$6*(1-'Reel Strips'!$L$6-'Reel Strips'!$L$18)</f>
        <v/>
      </c>
      <c r="D6" s="12">
        <f>Paytable!H5</f>
        <v/>
      </c>
      <c r="E6" s="24">
        <f>C6*D6*10</f>
        <v/>
      </c>
      <c r="F6" s="25" t="n">
        <v>0.001004219055175781</v>
      </c>
    </row>
    <row r="7">
      <c r="A7" s="6" t="inlineStr">
        <is>
          <t>Float</t>
        </is>
      </c>
      <c r="B7" s="19" t="n">
        <v>5</v>
      </c>
      <c r="C7" s="23">
        <f>'Reel Strips'!$H$6*('Reel Strips'!$I$6+'Reel Strips'!$I$18)*('Reel Strips'!$J$6+'Reel Strips'!$J$18)*('Reel Strips'!$K$6+'Reel Strips'!$K$18)*('Reel Strips'!$L$6+'Reel Strips'!$L$18)+'Reel Strips'!$H$18*'Reel Strips'!$I$6*('Reel Strips'!$J$6+'Reel Strips'!$J$18)*('Reel Strips'!$K$6+'Reel Strips'!$K$18)*('Reel Strips'!$L$6+'Reel Strips'!$L$18)+'Reel Strips'!$H$18*'Reel Strips'!$I$18*'Reel Strips'!$J$6*('Reel Strips'!$K$6+'Reel Strips'!$K$18)*('Reel Strips'!$L$6+'Reel Strips'!$L$18)+'Reel Strips'!$H$18*'Reel Strips'!$I$18*'Reel Strips'!$J$18*'Reel Strips'!$K$6*('Reel Strips'!$L$6+'Reel Strips'!$L$18)+'Reel Strips'!$H$18*'Reel Strips'!$I$18*'Reel Strips'!$J$18*'Reel Strips'!$K$18*'Reel Strips'!$L$6</f>
        <v/>
      </c>
      <c r="D7" s="12">
        <f>Paytable!I5</f>
        <v/>
      </c>
      <c r="E7" s="24">
        <f>C7*D7*10</f>
        <v/>
      </c>
      <c r="F7" s="25" t="n">
        <v>0.0002317428588867188</v>
      </c>
    </row>
    <row r="8">
      <c r="A8" s="6" t="inlineStr">
        <is>
          <t>Boilies</t>
        </is>
      </c>
      <c r="B8" s="19" t="n">
        <v>3</v>
      </c>
      <c r="C8" s="23">
        <f>'Reel Strips'!$H$7*('Reel Strips'!$I$7+'Reel Strips'!$I$18)*('Reel Strips'!$J$7+'Reel Strips'!$J$18)*(1-'Reel Strips'!$K$7-'Reel Strips'!$K$18)+'Reel Strips'!$H$18*'Reel Strips'!$I$7*('Reel Strips'!$J$7+'Reel Strips'!$J$18)*(1-'Reel Strips'!$K$7-'Reel Strips'!$K$18)+'Reel Strips'!$H$18*'Reel Strips'!$I$18*'Reel Strips'!$J$7*(1-'Reel Strips'!$K$7-'Reel Strips'!$K$18)</f>
        <v/>
      </c>
      <c r="D8" s="12">
        <f>Paytable!G6</f>
        <v/>
      </c>
      <c r="E8" s="24">
        <f>C8*D8*10</f>
        <v/>
      </c>
      <c r="F8" s="25" t="n">
        <v>0.0053558349609375</v>
      </c>
    </row>
    <row r="9">
      <c r="A9" s="6" t="inlineStr">
        <is>
          <t>Boilies</t>
        </is>
      </c>
      <c r="B9" s="19" t="n">
        <v>4</v>
      </c>
      <c r="C9" s="23">
        <f>'Reel Strips'!$H$7*('Reel Strips'!$I$7+'Reel Strips'!$I$18)*('Reel Strips'!$J$7+'Reel Strips'!$J$18)*('Reel Strips'!$K$7+'Reel Strips'!$K$18)*(1-'Reel Strips'!$L$7-'Reel Strips'!$L$18)+'Reel Strips'!$H$18*'Reel Strips'!$I$7*('Reel Strips'!$J$7+'Reel Strips'!$J$18)*('Reel Strips'!$K$7+'Reel Strips'!$K$18)*(1-'Reel Strips'!$L$7-'Reel Strips'!$L$18)+'Reel Strips'!$H$18*'Reel Strips'!$I$18*'Reel Strips'!$J$7*('Reel Strips'!$K$7+'Reel Strips'!$K$18)*(1-'Reel Strips'!$L$7-'Reel Strips'!$L$18)+'Reel Strips'!$H$18*'Reel Strips'!$I$18*'Reel Strips'!$J$18*'Reel Strips'!$K$7*(1-'Reel Strips'!$L$7-'Reel Strips'!$L$18)</f>
        <v/>
      </c>
      <c r="D9" s="12">
        <f>Paytable!H6</f>
        <v/>
      </c>
      <c r="E9" s="24">
        <f>C9*D9*10</f>
        <v/>
      </c>
      <c r="F9" s="25" t="n">
        <v>0.001004219055175781</v>
      </c>
    </row>
    <row r="10">
      <c r="A10" s="6" t="inlineStr">
        <is>
          <t>Boilies</t>
        </is>
      </c>
      <c r="B10" s="19" t="n">
        <v>5</v>
      </c>
      <c r="C10" s="23">
        <f>'Reel Strips'!$H$7*('Reel Strips'!$I$7+'Reel Strips'!$I$18)*('Reel Strips'!$J$7+'Reel Strips'!$J$18)*('Reel Strips'!$K$7+'Reel Strips'!$K$18)*('Reel Strips'!$L$7+'Reel Strips'!$L$18)+'Reel Strips'!$H$18*'Reel Strips'!$I$7*('Reel Strips'!$J$7+'Reel Strips'!$J$18)*('Reel Strips'!$K$7+'Reel Strips'!$K$18)*('Reel Strips'!$L$7+'Reel Strips'!$L$18)+'Reel Strips'!$H$18*'Reel Strips'!$I$18*'Reel Strips'!$J$7*('Reel Strips'!$K$7+'Reel Strips'!$K$18)*('Reel Strips'!$L$7+'Reel Strips'!$L$18)+'Reel Strips'!$H$18*'Reel Strips'!$I$18*'Reel Strips'!$J$18*'Reel Strips'!$K$7*('Reel Strips'!$L$7+'Reel Strips'!$L$18)+'Reel Strips'!$H$18*'Reel Strips'!$I$18*'Reel Strips'!$J$18*'Reel Strips'!$K$18*'Reel Strips'!$L$7</f>
        <v/>
      </c>
      <c r="D10" s="12">
        <f>Paytable!I6</f>
        <v/>
      </c>
      <c r="E10" s="24">
        <f>C10*D10*10</f>
        <v/>
      </c>
      <c r="F10" s="25" t="n">
        <v>0.0002317428588867188</v>
      </c>
    </row>
    <row r="11">
      <c r="A11" s="6" t="inlineStr">
        <is>
          <t>Sweetcorn</t>
        </is>
      </c>
      <c r="B11" s="19" t="n">
        <v>3</v>
      </c>
      <c r="C11" s="23">
        <f>'Reel Strips'!$H$8*('Reel Strips'!$I$8+'Reel Strips'!$I$18)*('Reel Strips'!$J$8+'Reel Strips'!$J$18)*(1-'Reel Strips'!$K$8-'Reel Strips'!$K$18)+'Reel Strips'!$H$18*'Reel Strips'!$I$8*('Reel Strips'!$J$8+'Reel Strips'!$J$18)*(1-'Reel Strips'!$K$8-'Reel Strips'!$K$18)+'Reel Strips'!$H$18*'Reel Strips'!$I$18*'Reel Strips'!$J$8*(1-'Reel Strips'!$K$8-'Reel Strips'!$K$18)</f>
        <v/>
      </c>
      <c r="D11" s="12">
        <f>Paytable!G7</f>
        <v/>
      </c>
      <c r="E11" s="24">
        <f>C11*D11*10</f>
        <v/>
      </c>
      <c r="F11" s="25" t="n">
        <v>0.004673004150390625</v>
      </c>
    </row>
    <row r="12">
      <c r="A12" s="6" t="inlineStr">
        <is>
          <t>Sweetcorn</t>
        </is>
      </c>
      <c r="B12" s="19" t="n">
        <v>4</v>
      </c>
      <c r="C12" s="23">
        <f>'Reel Strips'!$H$8*('Reel Strips'!$I$8+'Reel Strips'!$I$18)*('Reel Strips'!$J$8+'Reel Strips'!$J$18)*('Reel Strips'!$K$8+'Reel Strips'!$K$18)*(1-'Reel Strips'!$L$8-'Reel Strips'!$L$18)+'Reel Strips'!$H$18*'Reel Strips'!$I$8*('Reel Strips'!$J$8+'Reel Strips'!$J$18)*('Reel Strips'!$K$8+'Reel Strips'!$K$18)*(1-'Reel Strips'!$L$8-'Reel Strips'!$L$18)+'Reel Strips'!$H$18*'Reel Strips'!$I$18*'Reel Strips'!$J$8*('Reel Strips'!$K$8+'Reel Strips'!$K$18)*(1-'Reel Strips'!$L$8-'Reel Strips'!$L$18)+'Reel Strips'!$H$18*'Reel Strips'!$I$18*'Reel Strips'!$J$18*'Reel Strips'!$K$8*(1-'Reel Strips'!$L$8-'Reel Strips'!$L$18)</f>
        <v/>
      </c>
      <c r="D12" s="12">
        <f>Paytable!H7</f>
        <v/>
      </c>
      <c r="E12" s="24">
        <f>C12*D12*10</f>
        <v/>
      </c>
      <c r="F12" s="25" t="n">
        <v>0.001063108444213867</v>
      </c>
    </row>
    <row r="13">
      <c r="A13" s="6" t="inlineStr">
        <is>
          <t>Sweetcorn</t>
        </is>
      </c>
      <c r="B13" s="19" t="n">
        <v>5</v>
      </c>
      <c r="C13" s="23">
        <f>'Reel Strips'!$H$8*('Reel Strips'!$I$8+'Reel Strips'!$I$18)*('Reel Strips'!$J$8+'Reel Strips'!$J$18)*('Reel Strips'!$K$8+'Reel Strips'!$K$18)*('Reel Strips'!$L$8+'Reel Strips'!$L$18)+'Reel Strips'!$H$18*'Reel Strips'!$I$8*('Reel Strips'!$J$8+'Reel Strips'!$J$18)*('Reel Strips'!$K$8+'Reel Strips'!$K$18)*('Reel Strips'!$L$8+'Reel Strips'!$L$18)+'Reel Strips'!$H$18*'Reel Strips'!$I$18*'Reel Strips'!$J$8*('Reel Strips'!$K$8+'Reel Strips'!$K$18)*('Reel Strips'!$L$8+'Reel Strips'!$L$18)+'Reel Strips'!$H$18*'Reel Strips'!$I$18*'Reel Strips'!$J$18*'Reel Strips'!$K$8*('Reel Strips'!$L$8+'Reel Strips'!$L$18)+'Reel Strips'!$H$18*'Reel Strips'!$I$18*'Reel Strips'!$J$18*'Reel Strips'!$K$18*'Reel Strips'!$L$8</f>
        <v/>
      </c>
      <c r="D13" s="12">
        <f>Paytable!I7</f>
        <v/>
      </c>
      <c r="E13" s="24">
        <f>C13*D13*10</f>
        <v/>
      </c>
      <c r="F13" s="25" t="n">
        <v>0.0002453327178955078</v>
      </c>
    </row>
    <row r="14">
      <c r="A14" s="6" t="inlineStr">
        <is>
          <t>Luncheon Meat</t>
        </is>
      </c>
      <c r="B14" s="19" t="n">
        <v>3</v>
      </c>
      <c r="C14" s="23">
        <f>'Reel Strips'!$H$9*('Reel Strips'!$I$9+'Reel Strips'!$I$18)*('Reel Strips'!$J$9+'Reel Strips'!$J$18)*(1-'Reel Strips'!$K$9-'Reel Strips'!$K$18)+'Reel Strips'!$H$18*'Reel Strips'!$I$9*('Reel Strips'!$J$9+'Reel Strips'!$J$18)*(1-'Reel Strips'!$K$9-'Reel Strips'!$K$18)+'Reel Strips'!$H$18*'Reel Strips'!$I$18*'Reel Strips'!$J$9*(1-'Reel Strips'!$K$9-'Reel Strips'!$K$18)</f>
        <v/>
      </c>
      <c r="D14" s="12">
        <f>Paytable!G8</f>
        <v/>
      </c>
      <c r="E14" s="24">
        <f>C14*D14*10</f>
        <v/>
      </c>
      <c r="F14" s="25" t="n">
        <v>0.003504753112792969</v>
      </c>
    </row>
    <row r="15">
      <c r="A15" s="6" t="inlineStr">
        <is>
          <t>Luncheon Meat</t>
        </is>
      </c>
      <c r="B15" s="19" t="n">
        <v>4</v>
      </c>
      <c r="C15" s="23">
        <f>'Reel Strips'!$H$9*('Reel Strips'!$I$9+'Reel Strips'!$I$18)*('Reel Strips'!$J$9+'Reel Strips'!$J$18)*('Reel Strips'!$K$9+'Reel Strips'!$K$18)*(1-'Reel Strips'!$L$9-'Reel Strips'!$L$18)+'Reel Strips'!$H$18*'Reel Strips'!$I$9*('Reel Strips'!$J$9+'Reel Strips'!$J$18)*('Reel Strips'!$K$9+'Reel Strips'!$K$18)*(1-'Reel Strips'!$L$9-'Reel Strips'!$L$18)+'Reel Strips'!$H$18*'Reel Strips'!$I$18*'Reel Strips'!$J$9*('Reel Strips'!$K$9+'Reel Strips'!$K$18)*(1-'Reel Strips'!$L$9-'Reel Strips'!$L$18)+'Reel Strips'!$H$18*'Reel Strips'!$I$18*'Reel Strips'!$J$18*'Reel Strips'!$K$9*(1-'Reel Strips'!$L$9-'Reel Strips'!$L$18)</f>
        <v/>
      </c>
      <c r="D15" s="12">
        <f>Paytable!H8</f>
        <v/>
      </c>
      <c r="E15" s="24">
        <f>C15*D15*10</f>
        <v/>
      </c>
      <c r="F15" s="25" t="n">
        <v>0.0007973313331604004</v>
      </c>
    </row>
    <row r="16">
      <c r="A16" s="6" t="inlineStr">
        <is>
          <t>Luncheon Meat</t>
        </is>
      </c>
      <c r="B16" s="19" t="n">
        <v>5</v>
      </c>
      <c r="C16" s="23">
        <f>'Reel Strips'!$H$9*('Reel Strips'!$I$9+'Reel Strips'!$I$18)*('Reel Strips'!$J$9+'Reel Strips'!$J$18)*('Reel Strips'!$K$9+'Reel Strips'!$K$18)*('Reel Strips'!$L$9+'Reel Strips'!$L$18)+'Reel Strips'!$H$18*'Reel Strips'!$I$9*('Reel Strips'!$J$9+'Reel Strips'!$J$18)*('Reel Strips'!$K$9+'Reel Strips'!$K$18)*('Reel Strips'!$L$9+'Reel Strips'!$L$18)+'Reel Strips'!$H$18*'Reel Strips'!$I$18*'Reel Strips'!$J$9*('Reel Strips'!$K$9+'Reel Strips'!$K$18)*('Reel Strips'!$L$9+'Reel Strips'!$L$18)+'Reel Strips'!$H$18*'Reel Strips'!$I$18*'Reel Strips'!$J$18*'Reel Strips'!$K$9*('Reel Strips'!$L$9+'Reel Strips'!$L$18)+'Reel Strips'!$H$18*'Reel Strips'!$I$18*'Reel Strips'!$J$18*'Reel Strips'!$K$18*'Reel Strips'!$L$9</f>
        <v/>
      </c>
      <c r="D16" s="12">
        <f>Paytable!I8</f>
        <v/>
      </c>
      <c r="E16" s="24">
        <f>C16*D16*10</f>
        <v/>
      </c>
      <c r="F16" s="25" t="n">
        <v>0.0001839995384216309</v>
      </c>
    </row>
    <row r="17">
      <c r="A17" s="6" t="inlineStr">
        <is>
          <t>Flask</t>
        </is>
      </c>
      <c r="B17" s="19" t="n">
        <v>3</v>
      </c>
      <c r="C17" s="23">
        <f>'Reel Strips'!$H$10*('Reel Strips'!$I$10+'Reel Strips'!$I$18)*('Reel Strips'!$J$10+'Reel Strips'!$J$18)*(1-'Reel Strips'!$K$10-'Reel Strips'!$K$18)+'Reel Strips'!$H$18*'Reel Strips'!$I$10*('Reel Strips'!$J$10+'Reel Strips'!$J$18)*(1-'Reel Strips'!$K$10-'Reel Strips'!$K$18)+'Reel Strips'!$H$18*'Reel Strips'!$I$18*'Reel Strips'!$J$10*(1-'Reel Strips'!$K$10-'Reel Strips'!$K$18)</f>
        <v/>
      </c>
      <c r="D17" s="12">
        <f>Paytable!G9</f>
        <v/>
      </c>
      <c r="E17" s="24">
        <f>C17*D17*10</f>
        <v/>
      </c>
      <c r="F17" s="25" t="n">
        <v>0.00267791748046875</v>
      </c>
    </row>
    <row r="18">
      <c r="A18" s="6" t="inlineStr">
        <is>
          <t>Flask</t>
        </is>
      </c>
      <c r="B18" s="19" t="n">
        <v>4</v>
      </c>
      <c r="C18" s="23">
        <f>'Reel Strips'!$H$10*('Reel Strips'!$I$10+'Reel Strips'!$I$18)*('Reel Strips'!$J$10+'Reel Strips'!$J$18)*('Reel Strips'!$K$10+'Reel Strips'!$K$18)*(1-'Reel Strips'!$L$10-'Reel Strips'!$L$18)+'Reel Strips'!$H$18*'Reel Strips'!$I$10*('Reel Strips'!$J$10+'Reel Strips'!$J$18)*('Reel Strips'!$K$10+'Reel Strips'!$K$18)*(1-'Reel Strips'!$L$10-'Reel Strips'!$L$18)+'Reel Strips'!$H$18*'Reel Strips'!$I$18*'Reel Strips'!$J$10*('Reel Strips'!$K$10+'Reel Strips'!$K$18)*(1-'Reel Strips'!$L$10-'Reel Strips'!$L$18)+'Reel Strips'!$H$18*'Reel Strips'!$I$18*'Reel Strips'!$J$18*'Reel Strips'!$K$10*(1-'Reel Strips'!$L$10-'Reel Strips'!$L$18)</f>
        <v/>
      </c>
      <c r="D18" s="12">
        <f>Paytable!H9</f>
        <v/>
      </c>
      <c r="E18" s="24">
        <f>C18*D18*10</f>
        <v/>
      </c>
      <c r="F18" s="25" t="n">
        <v>0.0005214214324951172</v>
      </c>
    </row>
    <row r="19">
      <c r="A19" s="6" t="inlineStr">
        <is>
          <t>Flask</t>
        </is>
      </c>
      <c r="B19" s="19" t="n">
        <v>5</v>
      </c>
      <c r="C19" s="23">
        <f>'Reel Strips'!$H$10*('Reel Strips'!$I$10+'Reel Strips'!$I$18)*('Reel Strips'!$J$10+'Reel Strips'!$J$18)*('Reel Strips'!$K$10+'Reel Strips'!$K$18)*('Reel Strips'!$L$10+'Reel Strips'!$L$18)+'Reel Strips'!$H$18*'Reel Strips'!$I$10*('Reel Strips'!$J$10+'Reel Strips'!$J$18)*('Reel Strips'!$K$10+'Reel Strips'!$K$18)*('Reel Strips'!$L$10+'Reel Strips'!$L$18)+'Reel Strips'!$H$18*'Reel Strips'!$I$18*'Reel Strips'!$J$10*('Reel Strips'!$K$10+'Reel Strips'!$K$18)*('Reel Strips'!$L$10+'Reel Strips'!$L$18)+'Reel Strips'!$H$18*'Reel Strips'!$I$18*'Reel Strips'!$J$18*'Reel Strips'!$K$10*('Reel Strips'!$L$10+'Reel Strips'!$L$18)+'Reel Strips'!$H$18*'Reel Strips'!$I$18*'Reel Strips'!$J$18*'Reel Strips'!$K$18*'Reel Strips'!$L$10</f>
        <v/>
      </c>
      <c r="D19" s="12">
        <f>Paytable!I9</f>
        <v/>
      </c>
      <c r="E19" s="24">
        <f>C19*D19*10</f>
        <v/>
      </c>
      <c r="F19" s="25" t="n">
        <v>9.655952453613281e-05</v>
      </c>
    </row>
    <row r="20">
      <c r="A20" s="6" t="inlineStr">
        <is>
          <t>Catapult</t>
        </is>
      </c>
      <c r="B20" s="19" t="n">
        <v>3</v>
      </c>
      <c r="C20" s="23">
        <f>'Reel Strips'!$H$11*('Reel Strips'!$I$11+'Reel Strips'!$I$18)*('Reel Strips'!$J$11+'Reel Strips'!$J$18)*(1-'Reel Strips'!$K$11-'Reel Strips'!$K$18)+'Reel Strips'!$H$18*'Reel Strips'!$I$11*('Reel Strips'!$J$11+'Reel Strips'!$J$18)*(1-'Reel Strips'!$K$11-'Reel Strips'!$K$18)+'Reel Strips'!$H$18*'Reel Strips'!$I$18*'Reel Strips'!$J$11*(1-'Reel Strips'!$K$11-'Reel Strips'!$K$18)</f>
        <v/>
      </c>
      <c r="D20" s="12">
        <f>Paytable!G10</f>
        <v/>
      </c>
      <c r="E20" s="24">
        <f>C20*D20*10</f>
        <v/>
      </c>
      <c r="F20" s="25" t="n">
        <v>0.001931190490722656</v>
      </c>
    </row>
    <row r="21">
      <c r="A21" s="6" t="inlineStr">
        <is>
          <t>Catapult</t>
        </is>
      </c>
      <c r="B21" s="19" t="n">
        <v>4</v>
      </c>
      <c r="C21" s="23">
        <f>'Reel Strips'!$H$11*('Reel Strips'!$I$11+'Reel Strips'!$I$18)*('Reel Strips'!$J$11+'Reel Strips'!$J$18)*('Reel Strips'!$K$11+'Reel Strips'!$K$18)*(1-'Reel Strips'!$L$11-'Reel Strips'!$L$18)+'Reel Strips'!$H$18*'Reel Strips'!$I$11*('Reel Strips'!$J$11+'Reel Strips'!$J$18)*('Reel Strips'!$K$11+'Reel Strips'!$K$18)*(1-'Reel Strips'!$L$11-'Reel Strips'!$L$18)+'Reel Strips'!$H$18*'Reel Strips'!$I$18*'Reel Strips'!$J$11*('Reel Strips'!$K$11+'Reel Strips'!$K$18)*(1-'Reel Strips'!$L$11-'Reel Strips'!$L$18)+'Reel Strips'!$H$18*'Reel Strips'!$I$18*'Reel Strips'!$J$18*'Reel Strips'!$K$11*(1-'Reel Strips'!$L$11-'Reel Strips'!$L$18)</f>
        <v/>
      </c>
      <c r="D21" s="12">
        <f>Paytable!H10</f>
        <v/>
      </c>
      <c r="E21" s="24">
        <f>C21*D21*10</f>
        <v/>
      </c>
      <c r="F21" s="25" t="n">
        <v>0.000301748514175415</v>
      </c>
    </row>
    <row r="22">
      <c r="A22" s="6" t="inlineStr">
        <is>
          <t>Catapult</t>
        </is>
      </c>
      <c r="B22" s="19" t="n">
        <v>5</v>
      </c>
      <c r="C22" s="23">
        <f>'Reel Strips'!$H$11*('Reel Strips'!$I$11+'Reel Strips'!$I$18)*('Reel Strips'!$J$11+'Reel Strips'!$J$18)*('Reel Strips'!$K$11+'Reel Strips'!$K$18)*('Reel Strips'!$L$11+'Reel Strips'!$L$18)+'Reel Strips'!$H$18*'Reel Strips'!$I$11*('Reel Strips'!$J$11+'Reel Strips'!$J$18)*('Reel Strips'!$K$11+'Reel Strips'!$K$18)*('Reel Strips'!$L$11+'Reel Strips'!$L$18)+'Reel Strips'!$H$18*'Reel Strips'!$I$18*'Reel Strips'!$J$11*('Reel Strips'!$K$11+'Reel Strips'!$K$18)*('Reel Strips'!$L$11+'Reel Strips'!$L$18)+'Reel Strips'!$H$18*'Reel Strips'!$I$18*'Reel Strips'!$J$18*'Reel Strips'!$K$11*('Reel Strips'!$L$11+'Reel Strips'!$L$18)+'Reel Strips'!$H$18*'Reel Strips'!$I$18*'Reel Strips'!$J$18*'Reel Strips'!$K$18*'Reel Strips'!$L$11</f>
        <v/>
      </c>
      <c r="D22" s="12">
        <f>Paytable!I10</f>
        <v/>
      </c>
      <c r="E22" s="24">
        <f>C22*D22*10</f>
        <v/>
      </c>
      <c r="F22" s="25" t="n">
        <v>5.587935447692871e-05</v>
      </c>
    </row>
    <row r="23">
      <c r="A23" s="6" t="inlineStr">
        <is>
          <t>Landing Net</t>
        </is>
      </c>
      <c r="B23" s="19" t="n">
        <v>3</v>
      </c>
      <c r="C23" s="23">
        <f>'Reel Strips'!$H$12*('Reel Strips'!$I$12+'Reel Strips'!$I$18)*('Reel Strips'!$J$12+'Reel Strips'!$J$18)*(1-'Reel Strips'!$K$12-'Reel Strips'!$K$18)+'Reel Strips'!$H$18*'Reel Strips'!$I$12*('Reel Strips'!$J$12+'Reel Strips'!$J$18)*(1-'Reel Strips'!$K$12-'Reel Strips'!$K$18)+'Reel Strips'!$H$18*'Reel Strips'!$I$18*'Reel Strips'!$J$12*(1-'Reel Strips'!$K$12-'Reel Strips'!$K$18)</f>
        <v/>
      </c>
      <c r="D23" s="12">
        <f>Paytable!G11</f>
        <v/>
      </c>
      <c r="E23" s="24">
        <f>C23*D23*10</f>
        <v/>
      </c>
      <c r="F23" s="25" t="n">
        <v>0.001287460327148438</v>
      </c>
    </row>
    <row r="24">
      <c r="A24" s="6" t="inlineStr">
        <is>
          <t>Landing Net</t>
        </is>
      </c>
      <c r="B24" s="19" t="n">
        <v>4</v>
      </c>
      <c r="C24" s="23">
        <f>'Reel Strips'!$H$12*('Reel Strips'!$I$12+'Reel Strips'!$I$18)*('Reel Strips'!$J$12+'Reel Strips'!$J$18)*('Reel Strips'!$K$12+'Reel Strips'!$K$18)*(1-'Reel Strips'!$L$12-'Reel Strips'!$L$18)+'Reel Strips'!$H$18*'Reel Strips'!$I$12*('Reel Strips'!$J$12+'Reel Strips'!$J$18)*('Reel Strips'!$K$12+'Reel Strips'!$K$18)*(1-'Reel Strips'!$L$12-'Reel Strips'!$L$18)+'Reel Strips'!$H$18*'Reel Strips'!$I$18*'Reel Strips'!$J$12*('Reel Strips'!$K$12+'Reel Strips'!$K$18)*(1-'Reel Strips'!$L$12-'Reel Strips'!$L$18)+'Reel Strips'!$H$18*'Reel Strips'!$I$18*'Reel Strips'!$J$18*'Reel Strips'!$K$12*(1-'Reel Strips'!$L$12-'Reel Strips'!$L$18)</f>
        <v/>
      </c>
      <c r="D24" s="12">
        <f>Paytable!H11</f>
        <v/>
      </c>
      <c r="E24" s="24">
        <f>C24*D24*10</f>
        <v/>
      </c>
      <c r="F24" s="25" t="n">
        <v>0.0002086162567138672</v>
      </c>
    </row>
    <row r="25">
      <c r="A25" s="6" t="inlineStr">
        <is>
          <t>Landing Net</t>
        </is>
      </c>
      <c r="B25" s="19" t="n">
        <v>5</v>
      </c>
      <c r="C25" s="23">
        <f>'Reel Strips'!$H$12*('Reel Strips'!$I$12+'Reel Strips'!$I$18)*('Reel Strips'!$J$12+'Reel Strips'!$J$18)*('Reel Strips'!$K$12+'Reel Strips'!$K$18)*('Reel Strips'!$L$12+'Reel Strips'!$L$18)+'Reel Strips'!$H$18*'Reel Strips'!$I$12*('Reel Strips'!$J$12+'Reel Strips'!$J$18)*('Reel Strips'!$K$12+'Reel Strips'!$K$18)*('Reel Strips'!$L$12+'Reel Strips'!$L$18)+'Reel Strips'!$H$18*'Reel Strips'!$I$18*'Reel Strips'!$J$12*('Reel Strips'!$K$12+'Reel Strips'!$K$18)*('Reel Strips'!$L$12+'Reel Strips'!$L$18)+'Reel Strips'!$H$18*'Reel Strips'!$I$18*'Reel Strips'!$J$18*'Reel Strips'!$K$12*('Reel Strips'!$L$12+'Reel Strips'!$L$18)+'Reel Strips'!$H$18*'Reel Strips'!$I$18*'Reel Strips'!$J$18*'Reel Strips'!$K$18*'Reel Strips'!$L$12</f>
        <v/>
      </c>
      <c r="D25" s="12">
        <f>Paytable!I11</f>
        <v/>
      </c>
      <c r="E25" s="24">
        <f>C25*D25*10</f>
        <v/>
      </c>
      <c r="F25" s="25" t="n">
        <v>2.980232238769531e-05</v>
      </c>
    </row>
    <row r="26">
      <c r="A26" s="6" t="inlineStr">
        <is>
          <t>Bivvy</t>
        </is>
      </c>
      <c r="B26" s="19" t="n">
        <v>3</v>
      </c>
      <c r="C26" s="23">
        <f>'Reel Strips'!$H$13*('Reel Strips'!$I$13+'Reel Strips'!$I$18)*('Reel Strips'!$J$13+'Reel Strips'!$J$18)*(1-'Reel Strips'!$K$13-'Reel Strips'!$K$18)+'Reel Strips'!$H$18*'Reel Strips'!$I$13*('Reel Strips'!$J$13+'Reel Strips'!$J$18)*(1-'Reel Strips'!$K$13-'Reel Strips'!$K$18)+'Reel Strips'!$H$18*'Reel Strips'!$I$18*'Reel Strips'!$J$13*(1-'Reel Strips'!$K$13-'Reel Strips'!$K$18)</f>
        <v/>
      </c>
      <c r="D26" s="12">
        <f>Paytable!G12</f>
        <v/>
      </c>
      <c r="E26" s="24">
        <f>C26*D26*10</f>
        <v/>
      </c>
      <c r="F26" s="25" t="n">
        <v>0.0006437301635742188</v>
      </c>
    </row>
    <row r="27">
      <c r="A27" s="6" t="inlineStr">
        <is>
          <t>Bivvy</t>
        </is>
      </c>
      <c r="B27" s="19" t="n">
        <v>4</v>
      </c>
      <c r="C27" s="23">
        <f>'Reel Strips'!$H$13*('Reel Strips'!$I$13+'Reel Strips'!$I$18)*('Reel Strips'!$J$13+'Reel Strips'!$J$18)*('Reel Strips'!$K$13+'Reel Strips'!$K$18)*(1-'Reel Strips'!$L$13-'Reel Strips'!$L$18)+'Reel Strips'!$H$18*'Reel Strips'!$I$13*('Reel Strips'!$J$13+'Reel Strips'!$J$18)*('Reel Strips'!$K$13+'Reel Strips'!$K$18)*(1-'Reel Strips'!$L$13-'Reel Strips'!$L$18)+'Reel Strips'!$H$18*'Reel Strips'!$I$18*'Reel Strips'!$J$13*('Reel Strips'!$K$13+'Reel Strips'!$K$18)*(1-'Reel Strips'!$L$13-'Reel Strips'!$L$18)+'Reel Strips'!$H$18*'Reel Strips'!$I$18*'Reel Strips'!$J$18*'Reel Strips'!$K$13*(1-'Reel Strips'!$L$13-'Reel Strips'!$L$18)</f>
        <v/>
      </c>
      <c r="D27" s="12">
        <f>Paytable!H12</f>
        <v/>
      </c>
      <c r="E27" s="24">
        <f>C27*D27*10</f>
        <v/>
      </c>
      <c r="F27" s="25" t="n">
        <v>0.0001043081283569336</v>
      </c>
    </row>
    <row r="28">
      <c r="A28" s="6" t="inlineStr">
        <is>
          <t>Bivvy</t>
        </is>
      </c>
      <c r="B28" s="19" t="n">
        <v>5</v>
      </c>
      <c r="C28" s="23">
        <f>'Reel Strips'!$H$13*('Reel Strips'!$I$13+'Reel Strips'!$I$18)*('Reel Strips'!$J$13+'Reel Strips'!$J$18)*('Reel Strips'!$K$13+'Reel Strips'!$K$18)*('Reel Strips'!$L$13+'Reel Strips'!$L$18)+'Reel Strips'!$H$18*'Reel Strips'!$I$13*('Reel Strips'!$J$13+'Reel Strips'!$J$18)*('Reel Strips'!$K$13+'Reel Strips'!$K$18)*('Reel Strips'!$L$13+'Reel Strips'!$L$18)+'Reel Strips'!$H$18*'Reel Strips'!$I$18*'Reel Strips'!$J$13*('Reel Strips'!$K$13+'Reel Strips'!$K$18)*('Reel Strips'!$L$13+'Reel Strips'!$L$18)+'Reel Strips'!$H$18*'Reel Strips'!$I$18*'Reel Strips'!$J$18*'Reel Strips'!$K$13*('Reel Strips'!$L$13+'Reel Strips'!$L$18)+'Reel Strips'!$H$18*'Reel Strips'!$I$18*'Reel Strips'!$J$18*'Reel Strips'!$K$18*'Reel Strips'!$L$13</f>
        <v/>
      </c>
      <c r="D28" s="12">
        <f>Paytable!I12</f>
        <v/>
      </c>
      <c r="E28" s="24">
        <f>C28*D28*10</f>
        <v/>
      </c>
      <c r="F28" s="25" t="n">
        <v>1.490116119384766e-05</v>
      </c>
    </row>
    <row r="29">
      <c r="A29" s="6" t="inlineStr">
        <is>
          <t>Roach</t>
        </is>
      </c>
      <c r="B29" s="19" t="n">
        <v>3</v>
      </c>
      <c r="C29" s="23">
        <f>'Reel Strips'!$H$14*('Reel Strips'!$I$14+'Reel Strips'!$I$18)*('Reel Strips'!$J$14+'Reel Strips'!$J$18)*(1-'Reel Strips'!$K$14-'Reel Strips'!$K$18)+'Reel Strips'!$H$18*'Reel Strips'!$I$14*('Reel Strips'!$J$14+'Reel Strips'!$J$18)*(1-'Reel Strips'!$K$14-'Reel Strips'!$K$18)+'Reel Strips'!$H$18*'Reel Strips'!$I$18*'Reel Strips'!$J$14*(1-'Reel Strips'!$K$14-'Reel Strips'!$K$18)</f>
        <v/>
      </c>
      <c r="D29" s="12">
        <f>Paytable!G13</f>
        <v/>
      </c>
      <c r="E29" s="24">
        <f>C29*D29*10</f>
        <v/>
      </c>
      <c r="F29" s="25" t="n">
        <v>0.00042724609375</v>
      </c>
    </row>
    <row r="30">
      <c r="A30" s="6" t="inlineStr">
        <is>
          <t>Roach</t>
        </is>
      </c>
      <c r="B30" s="19" t="n">
        <v>4</v>
      </c>
      <c r="C30" s="23">
        <f>'Reel Strips'!$H$14*('Reel Strips'!$I$14+'Reel Strips'!$I$18)*('Reel Strips'!$J$14+'Reel Strips'!$J$18)*('Reel Strips'!$K$14+'Reel Strips'!$K$18)*(1-'Reel Strips'!$L$14-'Reel Strips'!$L$18)+'Reel Strips'!$H$18*'Reel Strips'!$I$14*('Reel Strips'!$J$14+'Reel Strips'!$J$18)*('Reel Strips'!$K$14+'Reel Strips'!$K$18)*(1-'Reel Strips'!$L$14-'Reel Strips'!$L$18)+'Reel Strips'!$H$18*'Reel Strips'!$I$18*'Reel Strips'!$J$14*('Reel Strips'!$K$14+'Reel Strips'!$K$18)*(1-'Reel Strips'!$L$14-'Reel Strips'!$L$18)+'Reel Strips'!$H$18*'Reel Strips'!$I$18*'Reel Strips'!$J$18*'Reel Strips'!$K$14*(1-'Reel Strips'!$L$14-'Reel Strips'!$L$18)</f>
        <v/>
      </c>
      <c r="D30" s="12">
        <f>Paytable!H13</f>
        <v/>
      </c>
      <c r="E30" s="24">
        <f>C30*D30*10</f>
        <v/>
      </c>
      <c r="F30" s="25" t="n">
        <v>5.53131103515625e-05</v>
      </c>
    </row>
    <row r="31">
      <c r="A31" s="6" t="inlineStr">
        <is>
          <t>Roach</t>
        </is>
      </c>
      <c r="B31" s="19" t="n">
        <v>5</v>
      </c>
      <c r="C31" s="23">
        <f>'Reel Strips'!$H$14*('Reel Strips'!$I$14+'Reel Strips'!$I$18)*('Reel Strips'!$J$14+'Reel Strips'!$J$18)*('Reel Strips'!$K$14+'Reel Strips'!$K$18)*('Reel Strips'!$L$14+'Reel Strips'!$L$18)+'Reel Strips'!$H$18*'Reel Strips'!$I$14*('Reel Strips'!$J$14+'Reel Strips'!$J$18)*('Reel Strips'!$K$14+'Reel Strips'!$K$18)*('Reel Strips'!$L$14+'Reel Strips'!$L$18)+'Reel Strips'!$H$18*'Reel Strips'!$I$18*'Reel Strips'!$J$14*('Reel Strips'!$K$14+'Reel Strips'!$K$18)*('Reel Strips'!$L$14+'Reel Strips'!$L$18)+'Reel Strips'!$H$18*'Reel Strips'!$I$18*'Reel Strips'!$J$18*'Reel Strips'!$K$14*('Reel Strips'!$L$14+'Reel Strips'!$L$18)+'Reel Strips'!$H$18*'Reel Strips'!$I$18*'Reel Strips'!$J$18*'Reel Strips'!$K$18*'Reel Strips'!$L$14</f>
        <v/>
      </c>
      <c r="D31" s="12">
        <f>Paytable!I13</f>
        <v/>
      </c>
      <c r="E31" s="24">
        <f>C31*D31*10</f>
        <v/>
      </c>
      <c r="F31" s="25" t="n">
        <v>5.7220458984375e-06</v>
      </c>
    </row>
    <row r="32">
      <c r="A32" s="6" t="inlineStr">
        <is>
          <t>Bream</t>
        </is>
      </c>
      <c r="B32" s="19" t="n">
        <v>3</v>
      </c>
      <c r="C32" s="23">
        <f>'Reel Strips'!$H$15*('Reel Strips'!$I$15+'Reel Strips'!$I$18)*('Reel Strips'!$J$15+'Reel Strips'!$J$18)*(1-'Reel Strips'!$K$15-'Reel Strips'!$K$18)+'Reel Strips'!$H$18*'Reel Strips'!$I$15*('Reel Strips'!$J$15+'Reel Strips'!$J$18)*(1-'Reel Strips'!$K$15-'Reel Strips'!$K$18)+'Reel Strips'!$H$18*'Reel Strips'!$I$18*'Reel Strips'!$J$15*(1-'Reel Strips'!$K$15-'Reel Strips'!$K$18)</f>
        <v/>
      </c>
      <c r="D32" s="12">
        <f>Paytable!G14</f>
        <v/>
      </c>
      <c r="E32" s="24">
        <f>C32*D32*10</f>
        <v/>
      </c>
      <c r="F32" s="25" t="n">
        <v>0.00042724609375</v>
      </c>
    </row>
    <row r="33">
      <c r="A33" s="6" t="inlineStr">
        <is>
          <t>Bream</t>
        </is>
      </c>
      <c r="B33" s="19" t="n">
        <v>4</v>
      </c>
      <c r="C33" s="23">
        <f>'Reel Strips'!$H$15*('Reel Strips'!$I$15+'Reel Strips'!$I$18)*('Reel Strips'!$J$15+'Reel Strips'!$J$18)*('Reel Strips'!$K$15+'Reel Strips'!$K$18)*(1-'Reel Strips'!$L$15-'Reel Strips'!$L$18)+'Reel Strips'!$H$18*'Reel Strips'!$I$15*('Reel Strips'!$J$15+'Reel Strips'!$J$18)*('Reel Strips'!$K$15+'Reel Strips'!$K$18)*(1-'Reel Strips'!$L$15-'Reel Strips'!$L$18)+'Reel Strips'!$H$18*'Reel Strips'!$I$18*'Reel Strips'!$J$15*('Reel Strips'!$K$15+'Reel Strips'!$K$18)*(1-'Reel Strips'!$L$15-'Reel Strips'!$L$18)+'Reel Strips'!$H$18*'Reel Strips'!$I$18*'Reel Strips'!$J$18*'Reel Strips'!$K$15*(1-'Reel Strips'!$L$15-'Reel Strips'!$L$18)</f>
        <v/>
      </c>
      <c r="D33" s="12">
        <f>Paytable!H14</f>
        <v/>
      </c>
      <c r="E33" s="24">
        <f>C33*D33*10</f>
        <v/>
      </c>
      <c r="F33" s="25" t="n">
        <v>5.53131103515625e-05</v>
      </c>
    </row>
    <row r="34">
      <c r="A34" s="6" t="inlineStr">
        <is>
          <t>Bream</t>
        </is>
      </c>
      <c r="B34" s="19" t="n">
        <v>5</v>
      </c>
      <c r="C34" s="23">
        <f>'Reel Strips'!$H$15*('Reel Strips'!$I$15+'Reel Strips'!$I$18)*('Reel Strips'!$J$15+'Reel Strips'!$J$18)*('Reel Strips'!$K$15+'Reel Strips'!$K$18)*('Reel Strips'!$L$15+'Reel Strips'!$L$18)+'Reel Strips'!$H$18*'Reel Strips'!$I$15*('Reel Strips'!$J$15+'Reel Strips'!$J$18)*('Reel Strips'!$K$15+'Reel Strips'!$K$18)*('Reel Strips'!$L$15+'Reel Strips'!$L$18)+'Reel Strips'!$H$18*'Reel Strips'!$I$18*'Reel Strips'!$J$15*('Reel Strips'!$K$15+'Reel Strips'!$K$18)*('Reel Strips'!$L$15+'Reel Strips'!$L$18)+'Reel Strips'!$H$18*'Reel Strips'!$I$18*'Reel Strips'!$J$18*'Reel Strips'!$K$15*('Reel Strips'!$L$15+'Reel Strips'!$L$18)+'Reel Strips'!$H$18*'Reel Strips'!$I$18*'Reel Strips'!$J$18*'Reel Strips'!$K$18*'Reel Strips'!$L$15</f>
        <v/>
      </c>
      <c r="D34" s="12">
        <f>Paytable!I14</f>
        <v/>
      </c>
      <c r="E34" s="24">
        <f>C34*D34*10</f>
        <v/>
      </c>
      <c r="F34" s="25" t="n">
        <v>5.7220458984375e-06</v>
      </c>
    </row>
    <row r="35">
      <c r="A35" s="6" t="inlineStr">
        <is>
          <t>Tench</t>
        </is>
      </c>
      <c r="B35" s="19" t="n">
        <v>3</v>
      </c>
      <c r="C35" s="23">
        <f>'Reel Strips'!$H$16*('Reel Strips'!$I$16+'Reel Strips'!$I$18)*('Reel Strips'!$J$16+'Reel Strips'!$J$18)*(1-'Reel Strips'!$K$16-'Reel Strips'!$K$18)+'Reel Strips'!$H$18*'Reel Strips'!$I$16*('Reel Strips'!$J$16+'Reel Strips'!$J$18)*(1-'Reel Strips'!$K$16-'Reel Strips'!$K$18)+'Reel Strips'!$H$18*'Reel Strips'!$I$18*'Reel Strips'!$J$16*(1-'Reel Strips'!$K$16-'Reel Strips'!$K$18)</f>
        <v/>
      </c>
      <c r="D35" s="12">
        <f>Paytable!G15</f>
        <v/>
      </c>
      <c r="E35" s="24">
        <f>C35*D35*10</f>
        <v/>
      </c>
      <c r="F35" s="25" t="n">
        <v>0.00042724609375</v>
      </c>
    </row>
    <row r="36">
      <c r="A36" s="6" t="inlineStr">
        <is>
          <t>Tench</t>
        </is>
      </c>
      <c r="B36" s="19" t="n">
        <v>4</v>
      </c>
      <c r="C36" s="23">
        <f>'Reel Strips'!$H$16*('Reel Strips'!$I$16+'Reel Strips'!$I$18)*('Reel Strips'!$J$16+'Reel Strips'!$J$18)*('Reel Strips'!$K$16+'Reel Strips'!$K$18)*(1-'Reel Strips'!$L$16-'Reel Strips'!$L$18)+'Reel Strips'!$H$18*'Reel Strips'!$I$16*('Reel Strips'!$J$16+'Reel Strips'!$J$18)*('Reel Strips'!$K$16+'Reel Strips'!$K$18)*(1-'Reel Strips'!$L$16-'Reel Strips'!$L$18)+'Reel Strips'!$H$18*'Reel Strips'!$I$18*'Reel Strips'!$J$16*('Reel Strips'!$K$16+'Reel Strips'!$K$18)*(1-'Reel Strips'!$L$16-'Reel Strips'!$L$18)+'Reel Strips'!$H$18*'Reel Strips'!$I$18*'Reel Strips'!$J$18*'Reel Strips'!$K$16*(1-'Reel Strips'!$L$16-'Reel Strips'!$L$18)</f>
        <v/>
      </c>
      <c r="D36" s="12">
        <f>Paytable!H15</f>
        <v/>
      </c>
      <c r="E36" s="24">
        <f>C36*D36*10</f>
        <v/>
      </c>
      <c r="F36" s="25" t="n">
        <v>5.53131103515625e-05</v>
      </c>
    </row>
    <row r="37">
      <c r="A37" s="6" t="inlineStr">
        <is>
          <t>Tench</t>
        </is>
      </c>
      <c r="B37" s="19" t="n">
        <v>5</v>
      </c>
      <c r="C37" s="23">
        <f>'Reel Strips'!$H$16*('Reel Strips'!$I$16+'Reel Strips'!$I$18)*('Reel Strips'!$J$16+'Reel Strips'!$J$18)*('Reel Strips'!$K$16+'Reel Strips'!$K$18)*('Reel Strips'!$L$16+'Reel Strips'!$L$18)+'Reel Strips'!$H$18*'Reel Strips'!$I$16*('Reel Strips'!$J$16+'Reel Strips'!$J$18)*('Reel Strips'!$K$16+'Reel Strips'!$K$18)*('Reel Strips'!$L$16+'Reel Strips'!$L$18)+'Reel Strips'!$H$18*'Reel Strips'!$I$18*'Reel Strips'!$J$16*('Reel Strips'!$K$16+'Reel Strips'!$K$18)*('Reel Strips'!$L$16+'Reel Strips'!$L$18)+'Reel Strips'!$H$18*'Reel Strips'!$I$18*'Reel Strips'!$J$18*'Reel Strips'!$K$16*('Reel Strips'!$L$16+'Reel Strips'!$L$18)+'Reel Strips'!$H$18*'Reel Strips'!$I$18*'Reel Strips'!$J$18*'Reel Strips'!$K$18*'Reel Strips'!$L$16</f>
        <v/>
      </c>
      <c r="D37" s="12">
        <f>Paytable!I15</f>
        <v/>
      </c>
      <c r="E37" s="24">
        <f>C37*D37*10</f>
        <v/>
      </c>
      <c r="F37" s="25" t="n">
        <v>5.7220458984375e-06</v>
      </c>
    </row>
    <row r="38">
      <c r="A38" s="6" t="inlineStr">
        <is>
          <t>Mirror Carp</t>
        </is>
      </c>
      <c r="B38" s="19" t="n">
        <v>3</v>
      </c>
      <c r="C38" s="23">
        <f>'Reel Strips'!$H$17*('Reel Strips'!$I$17+'Reel Strips'!$I$18)*('Reel Strips'!$J$17+'Reel Strips'!$J$18)*(1-'Reel Strips'!$K$17-'Reel Strips'!$K$18)+'Reel Strips'!$H$18*'Reel Strips'!$I$17*('Reel Strips'!$J$17+'Reel Strips'!$J$18)*(1-'Reel Strips'!$K$17-'Reel Strips'!$K$18)+'Reel Strips'!$H$18*'Reel Strips'!$I$18*'Reel Strips'!$J$17*(1-'Reel Strips'!$K$17-'Reel Strips'!$K$18)</f>
        <v/>
      </c>
      <c r="D38" s="12">
        <f>Paytable!G16</f>
        <v/>
      </c>
      <c r="E38" s="24">
        <f>C38*D38*10</f>
        <v/>
      </c>
      <c r="F38" s="25" t="n">
        <v>0.00042724609375</v>
      </c>
    </row>
    <row r="39">
      <c r="A39" s="6" t="inlineStr">
        <is>
          <t>Mirror Carp</t>
        </is>
      </c>
      <c r="B39" s="19" t="n">
        <v>4</v>
      </c>
      <c r="C39" s="23">
        <f>'Reel Strips'!$H$17*('Reel Strips'!$I$17+'Reel Strips'!$I$18)*('Reel Strips'!$J$17+'Reel Strips'!$J$18)*('Reel Strips'!$K$17+'Reel Strips'!$K$18)*(1-'Reel Strips'!$L$17-'Reel Strips'!$L$18)+'Reel Strips'!$H$18*'Reel Strips'!$I$17*('Reel Strips'!$J$17+'Reel Strips'!$J$18)*('Reel Strips'!$K$17+'Reel Strips'!$K$18)*(1-'Reel Strips'!$L$17-'Reel Strips'!$L$18)+'Reel Strips'!$H$18*'Reel Strips'!$I$18*'Reel Strips'!$J$17*('Reel Strips'!$K$17+'Reel Strips'!$K$18)*(1-'Reel Strips'!$L$17-'Reel Strips'!$L$18)+'Reel Strips'!$H$18*'Reel Strips'!$I$18*'Reel Strips'!$J$18*'Reel Strips'!$K$17*(1-'Reel Strips'!$L$17-'Reel Strips'!$L$18)</f>
        <v/>
      </c>
      <c r="D39" s="12">
        <f>Paytable!H16</f>
        <v/>
      </c>
      <c r="E39" s="24">
        <f>C39*D39*10</f>
        <v/>
      </c>
      <c r="F39" s="25" t="n">
        <v>5.53131103515625e-05</v>
      </c>
    </row>
    <row r="40">
      <c r="A40" s="6" t="inlineStr">
        <is>
          <t>Mirror Carp</t>
        </is>
      </c>
      <c r="B40" s="19" t="n">
        <v>5</v>
      </c>
      <c r="C40" s="23">
        <f>'Reel Strips'!$H$17*('Reel Strips'!$I$17+'Reel Strips'!$I$18)*('Reel Strips'!$J$17+'Reel Strips'!$J$18)*('Reel Strips'!$K$17+'Reel Strips'!$K$18)*('Reel Strips'!$L$17+'Reel Strips'!$L$18)+'Reel Strips'!$H$18*'Reel Strips'!$I$17*('Reel Strips'!$J$17+'Reel Strips'!$J$18)*('Reel Strips'!$K$17+'Reel Strips'!$K$18)*('Reel Strips'!$L$17+'Reel Strips'!$L$18)+'Reel Strips'!$H$18*'Reel Strips'!$I$18*'Reel Strips'!$J$17*('Reel Strips'!$K$17+'Reel Strips'!$K$18)*('Reel Strips'!$L$17+'Reel Strips'!$L$18)+'Reel Strips'!$H$18*'Reel Strips'!$I$18*'Reel Strips'!$J$18*'Reel Strips'!$K$17*('Reel Strips'!$L$17+'Reel Strips'!$L$18)+'Reel Strips'!$H$18*'Reel Strips'!$I$18*'Reel Strips'!$J$18*'Reel Strips'!$K$18*'Reel Strips'!$L$17+'Reel Strips'!$H$18*'Reel Strips'!$I$18*'Reel Strips'!$J$18*'Reel Strips'!$K$18*'Reel Strips'!$L$18</f>
        <v/>
      </c>
      <c r="D40" s="12">
        <f>Paytable!I16</f>
        <v/>
      </c>
      <c r="E40" s="24">
        <f>C40*D40*10</f>
        <v/>
      </c>
      <c r="F40" s="25" t="n">
        <v>5.7220458984375e-06</v>
      </c>
    </row>
    <row r="41">
      <c r="A41" s="4" t="inlineStr">
        <is>
          <t>Total line RTP</t>
        </is>
      </c>
      <c r="E41" s="26">
        <f>SUM(E5:E40)</f>
        <v/>
      </c>
    </row>
    <row r="42">
      <c r="A42" s="6" t="inlineStr">
        <is>
          <t>Max difference vs engine exact (should be ~0)</t>
        </is>
      </c>
      <c r="C42" s="27">
        <f>SUMPRODUCT(ABS(C5:C40-F5:F40))</f>
        <v/>
      </c>
    </row>
    <row r="44">
      <c r="A44" s="2" t="inlineStr">
        <is>
          <t>Column F: same probability computed independently by math/par_sheet.mjs from the engine rules (cross-check).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4"/>
  <sheetViews>
    <sheetView workbookViewId="0">
      <selection activeCell="A1" sqref="A1"/>
    </sheetView>
  </sheetViews>
  <sheetFormatPr baseColWidth="8" defaultRowHeight="15"/>
  <cols>
    <col width="22" customWidth="1" min="1" max="1"/>
    <col width="8" customWidth="1" min="2" max="2"/>
    <col width="14" customWidth="1" min="3" max="3"/>
    <col width="13" customWidth="1" min="4" max="4"/>
    <col width="16" customWidth="1" min="5" max="5"/>
    <col width="18" customWidth="1" min="6" max="6"/>
  </cols>
  <sheetData>
    <row r="1">
      <c r="A1" s="1" t="inlineStr">
        <is>
          <t>Line Wins Free Spins: exact probability per payline</t>
        </is>
      </c>
    </row>
    <row r="2">
      <c r="A2" s="2" t="inlineStr">
        <is>
          <t>Formula: the first non-wild symbol on the line is the target; wilds before/after it count; the next symbol must break the run. Probabilities come from Reel Strips; RTP contribution = probability x pay (x stake) x 10 lines.</t>
        </is>
      </c>
    </row>
    <row r="4">
      <c r="A4" s="3" t="inlineStr">
        <is>
          <t>Symbol</t>
        </is>
      </c>
      <c r="B4" s="3" t="inlineStr">
        <is>
          <t>Count</t>
        </is>
      </c>
      <c r="C4" s="3" t="inlineStr">
        <is>
          <t>P (per line)</t>
        </is>
      </c>
      <c r="D4" s="3" t="inlineStr">
        <is>
          <t>Pay (x stake)</t>
        </is>
      </c>
      <c r="E4" s="3" t="inlineStr">
        <is>
          <t>RTP contribution</t>
        </is>
      </c>
      <c r="F4" s="3" t="inlineStr">
        <is>
          <t>Check: engine exact</t>
        </is>
      </c>
    </row>
    <row r="5">
      <c r="A5" s="6" t="inlineStr">
        <is>
          <t>Float</t>
        </is>
      </c>
      <c r="B5" s="19" t="n">
        <v>3</v>
      </c>
      <c r="C5" s="23">
        <f>'Reel Strips'!$H$25*('Reel Strips'!$I$25+'Reel Strips'!$I$37)*('Reel Strips'!$J$25+'Reel Strips'!$J$37)*(1-'Reel Strips'!$K$25-'Reel Strips'!$K$37)+'Reel Strips'!$H$37*'Reel Strips'!$I$25*('Reel Strips'!$J$25+'Reel Strips'!$J$37)*(1-'Reel Strips'!$K$25-'Reel Strips'!$K$37)+'Reel Strips'!$H$37*'Reel Strips'!$I$37*'Reel Strips'!$J$25*(1-'Reel Strips'!$K$25-'Reel Strips'!$K$37)</f>
        <v/>
      </c>
      <c r="D5" s="12">
        <f>Paytable!G5</f>
        <v/>
      </c>
      <c r="E5" s="24">
        <f>C5*D5*10</f>
        <v/>
      </c>
      <c r="F5" s="25" t="n">
        <v>0.002574920654296875</v>
      </c>
    </row>
    <row r="6">
      <c r="A6" s="6" t="inlineStr">
        <is>
          <t>Float</t>
        </is>
      </c>
      <c r="B6" s="19" t="n">
        <v>4</v>
      </c>
      <c r="C6" s="23">
        <f>'Reel Strips'!$H$25*('Reel Strips'!$I$25+'Reel Strips'!$I$37)*('Reel Strips'!$J$25+'Reel Strips'!$J$37)*('Reel Strips'!$K$25+'Reel Strips'!$K$37)*(1-'Reel Strips'!$L$25-'Reel Strips'!$L$37)+'Reel Strips'!$H$37*'Reel Strips'!$I$25*('Reel Strips'!$J$25+'Reel Strips'!$J$37)*('Reel Strips'!$K$25+'Reel Strips'!$K$37)*(1-'Reel Strips'!$L$25-'Reel Strips'!$L$37)+'Reel Strips'!$H$37*'Reel Strips'!$I$37*'Reel Strips'!$J$25*('Reel Strips'!$K$25+'Reel Strips'!$K$37)*(1-'Reel Strips'!$L$25-'Reel Strips'!$L$37)+'Reel Strips'!$H$37*'Reel Strips'!$I$37*'Reel Strips'!$J$37*'Reel Strips'!$K$25*(1-'Reel Strips'!$L$25-'Reel Strips'!$L$37)</f>
        <v/>
      </c>
      <c r="D6" s="12">
        <f>Paytable!H5</f>
        <v/>
      </c>
      <c r="E6" s="24">
        <f>C6*D6*10</f>
        <v/>
      </c>
      <c r="F6" s="25" t="n">
        <v>0.0004023313522338867</v>
      </c>
    </row>
    <row r="7">
      <c r="A7" s="6" t="inlineStr">
        <is>
          <t>Float</t>
        </is>
      </c>
      <c r="B7" s="19" t="n">
        <v>5</v>
      </c>
      <c r="C7" s="23">
        <f>'Reel Strips'!$H$25*('Reel Strips'!$I$25+'Reel Strips'!$I$37)*('Reel Strips'!$J$25+'Reel Strips'!$J$37)*('Reel Strips'!$K$25+'Reel Strips'!$K$37)*('Reel Strips'!$L$25+'Reel Strips'!$L$37)+'Reel Strips'!$H$37*'Reel Strips'!$I$25*('Reel Strips'!$J$25+'Reel Strips'!$J$37)*('Reel Strips'!$K$25+'Reel Strips'!$K$37)*('Reel Strips'!$L$25+'Reel Strips'!$L$37)+'Reel Strips'!$H$37*'Reel Strips'!$I$37*'Reel Strips'!$J$25*('Reel Strips'!$K$25+'Reel Strips'!$K$37)*('Reel Strips'!$L$25+'Reel Strips'!$L$37)+'Reel Strips'!$H$37*'Reel Strips'!$I$37*'Reel Strips'!$J$37*'Reel Strips'!$K$25*('Reel Strips'!$L$25+'Reel Strips'!$L$37)+'Reel Strips'!$H$37*'Reel Strips'!$I$37*'Reel Strips'!$J$37*'Reel Strips'!$K$37*'Reel Strips'!$L$25</f>
        <v/>
      </c>
      <c r="D7" s="12">
        <f>Paytable!I5</f>
        <v/>
      </c>
      <c r="E7" s="24">
        <f>C7*D7*10</f>
        <v/>
      </c>
      <c r="F7" s="25" t="n">
        <v>7.450580596923828e-05</v>
      </c>
    </row>
    <row r="8">
      <c r="A8" s="6" t="inlineStr">
        <is>
          <t>Boilies</t>
        </is>
      </c>
      <c r="B8" s="19" t="n">
        <v>3</v>
      </c>
      <c r="C8" s="23">
        <f>'Reel Strips'!$H$26*('Reel Strips'!$I$26+'Reel Strips'!$I$37)*('Reel Strips'!$J$26+'Reel Strips'!$J$37)*(1-'Reel Strips'!$K$26-'Reel Strips'!$K$37)+'Reel Strips'!$H$37*'Reel Strips'!$I$26*('Reel Strips'!$J$26+'Reel Strips'!$J$37)*(1-'Reel Strips'!$K$26-'Reel Strips'!$K$37)+'Reel Strips'!$H$37*'Reel Strips'!$I$37*'Reel Strips'!$J$26*(1-'Reel Strips'!$K$26-'Reel Strips'!$K$37)</f>
        <v/>
      </c>
      <c r="D8" s="12">
        <f>Paytable!G6</f>
        <v/>
      </c>
      <c r="E8" s="24">
        <f>C8*D8*10</f>
        <v/>
      </c>
      <c r="F8" s="25" t="n">
        <v>0.00446319580078125</v>
      </c>
    </row>
    <row r="9">
      <c r="A9" s="6" t="inlineStr">
        <is>
          <t>Boilies</t>
        </is>
      </c>
      <c r="B9" s="19" t="n">
        <v>4</v>
      </c>
      <c r="C9" s="23">
        <f>'Reel Strips'!$H$26*('Reel Strips'!$I$26+'Reel Strips'!$I$37)*('Reel Strips'!$J$26+'Reel Strips'!$J$37)*('Reel Strips'!$K$26+'Reel Strips'!$K$37)*(1-'Reel Strips'!$L$26-'Reel Strips'!$L$37)+'Reel Strips'!$H$37*'Reel Strips'!$I$26*('Reel Strips'!$J$26+'Reel Strips'!$J$37)*('Reel Strips'!$K$26+'Reel Strips'!$K$37)*(1-'Reel Strips'!$L$26-'Reel Strips'!$L$37)+'Reel Strips'!$H$37*'Reel Strips'!$I$37*'Reel Strips'!$J$26*('Reel Strips'!$K$26+'Reel Strips'!$K$37)*(1-'Reel Strips'!$L$26-'Reel Strips'!$L$37)+'Reel Strips'!$H$37*'Reel Strips'!$I$37*'Reel Strips'!$J$37*'Reel Strips'!$K$26*(1-'Reel Strips'!$L$26-'Reel Strips'!$L$37)</f>
        <v/>
      </c>
      <c r="D9" s="12">
        <f>Paytable!H6</f>
        <v/>
      </c>
      <c r="E9" s="24">
        <f>C9*D9*10</f>
        <v/>
      </c>
      <c r="F9" s="25" t="n">
        <v>0.0008690357208251953</v>
      </c>
    </row>
    <row r="10">
      <c r="A10" s="6" t="inlineStr">
        <is>
          <t>Boilies</t>
        </is>
      </c>
      <c r="B10" s="19" t="n">
        <v>5</v>
      </c>
      <c r="C10" s="23">
        <f>'Reel Strips'!$H$26*('Reel Strips'!$I$26+'Reel Strips'!$I$37)*('Reel Strips'!$J$26+'Reel Strips'!$J$37)*('Reel Strips'!$K$26+'Reel Strips'!$K$37)*('Reel Strips'!$L$26+'Reel Strips'!$L$37)+'Reel Strips'!$H$37*'Reel Strips'!$I$26*('Reel Strips'!$J$26+'Reel Strips'!$J$37)*('Reel Strips'!$K$26+'Reel Strips'!$K$37)*('Reel Strips'!$L$26+'Reel Strips'!$L$37)+'Reel Strips'!$H$37*'Reel Strips'!$I$37*'Reel Strips'!$J$26*('Reel Strips'!$K$26+'Reel Strips'!$K$37)*('Reel Strips'!$L$26+'Reel Strips'!$L$37)+'Reel Strips'!$H$37*'Reel Strips'!$I$37*'Reel Strips'!$J$37*'Reel Strips'!$K$26*('Reel Strips'!$L$26+'Reel Strips'!$L$37)+'Reel Strips'!$H$37*'Reel Strips'!$I$37*'Reel Strips'!$J$37*'Reel Strips'!$K$37*'Reel Strips'!$L$26</f>
        <v/>
      </c>
      <c r="D10" s="12">
        <f>Paytable!I6</f>
        <v/>
      </c>
      <c r="E10" s="24">
        <f>C10*D10*10</f>
        <v/>
      </c>
      <c r="F10" s="25" t="n">
        <v>0.0001609325408935547</v>
      </c>
    </row>
    <row r="11">
      <c r="A11" s="6" t="inlineStr">
        <is>
          <t>Sweetcorn</t>
        </is>
      </c>
      <c r="B11" s="19" t="n">
        <v>3</v>
      </c>
      <c r="C11" s="23">
        <f>'Reel Strips'!$H$27*('Reel Strips'!$I$27+'Reel Strips'!$I$37)*('Reel Strips'!$J$27+'Reel Strips'!$J$37)*(1-'Reel Strips'!$K$27-'Reel Strips'!$K$37)+'Reel Strips'!$H$37*'Reel Strips'!$I$27*('Reel Strips'!$J$27+'Reel Strips'!$J$37)*(1-'Reel Strips'!$K$27-'Reel Strips'!$K$37)+'Reel Strips'!$H$37*'Reel Strips'!$I$37*'Reel Strips'!$J$27*(1-'Reel Strips'!$K$27-'Reel Strips'!$K$37)</f>
        <v/>
      </c>
      <c r="D11" s="12">
        <f>Paytable!G7</f>
        <v/>
      </c>
      <c r="E11" s="24">
        <f>C11*D11*10</f>
        <v/>
      </c>
      <c r="F11" s="25" t="n">
        <v>0.003570556640625</v>
      </c>
    </row>
    <row r="12">
      <c r="A12" s="6" t="inlineStr">
        <is>
          <t>Sweetcorn</t>
        </is>
      </c>
      <c r="B12" s="19" t="n">
        <v>4</v>
      </c>
      <c r="C12" s="23">
        <f>'Reel Strips'!$H$27*('Reel Strips'!$I$27+'Reel Strips'!$I$37)*('Reel Strips'!$J$27+'Reel Strips'!$J$37)*('Reel Strips'!$K$27+'Reel Strips'!$K$37)*(1-'Reel Strips'!$L$27-'Reel Strips'!$L$37)+'Reel Strips'!$H$37*'Reel Strips'!$I$27*('Reel Strips'!$J$27+'Reel Strips'!$J$37)*('Reel Strips'!$K$27+'Reel Strips'!$K$37)*(1-'Reel Strips'!$L$27-'Reel Strips'!$L$37)+'Reel Strips'!$H$37*'Reel Strips'!$I$37*'Reel Strips'!$J$27*('Reel Strips'!$K$27+'Reel Strips'!$K$37)*(1-'Reel Strips'!$L$27-'Reel Strips'!$L$37)+'Reel Strips'!$H$37*'Reel Strips'!$I$37*'Reel Strips'!$J$37*'Reel Strips'!$K$27*(1-'Reel Strips'!$L$27-'Reel Strips'!$L$37)</f>
        <v/>
      </c>
      <c r="D12" s="12">
        <f>Paytable!H7</f>
        <v/>
      </c>
      <c r="E12" s="24">
        <f>C12*D12*10</f>
        <v/>
      </c>
      <c r="F12" s="25" t="n">
        <v>0.0006952285766601562</v>
      </c>
    </row>
    <row r="13">
      <c r="A13" s="6" t="inlineStr">
        <is>
          <t>Sweetcorn</t>
        </is>
      </c>
      <c r="B13" s="19" t="n">
        <v>5</v>
      </c>
      <c r="C13" s="23">
        <f>'Reel Strips'!$H$27*('Reel Strips'!$I$27+'Reel Strips'!$I$37)*('Reel Strips'!$J$27+'Reel Strips'!$J$37)*('Reel Strips'!$K$27+'Reel Strips'!$K$37)*('Reel Strips'!$L$27+'Reel Strips'!$L$37)+'Reel Strips'!$H$37*'Reel Strips'!$I$27*('Reel Strips'!$J$27+'Reel Strips'!$J$37)*('Reel Strips'!$K$27+'Reel Strips'!$K$37)*('Reel Strips'!$L$27+'Reel Strips'!$L$37)+'Reel Strips'!$H$37*'Reel Strips'!$I$37*'Reel Strips'!$J$27*('Reel Strips'!$K$27+'Reel Strips'!$K$37)*('Reel Strips'!$L$27+'Reel Strips'!$L$37)+'Reel Strips'!$H$37*'Reel Strips'!$I$37*'Reel Strips'!$J$37*'Reel Strips'!$K$27*('Reel Strips'!$L$27+'Reel Strips'!$L$37)+'Reel Strips'!$H$37*'Reel Strips'!$I$37*'Reel Strips'!$J$37*'Reel Strips'!$K$37*'Reel Strips'!$L$27</f>
        <v/>
      </c>
      <c r="D13" s="12">
        <f>Paytable!I7</f>
        <v/>
      </c>
      <c r="E13" s="24">
        <f>C13*D13*10</f>
        <v/>
      </c>
      <c r="F13" s="25" t="n">
        <v>0.0001287460327148438</v>
      </c>
    </row>
    <row r="14">
      <c r="A14" s="6" t="inlineStr">
        <is>
          <t>Luncheon Meat</t>
        </is>
      </c>
      <c r="B14" s="19" t="n">
        <v>3</v>
      </c>
      <c r="C14" s="23">
        <f>'Reel Strips'!$H$28*('Reel Strips'!$I$28+'Reel Strips'!$I$37)*('Reel Strips'!$J$28+'Reel Strips'!$J$37)*(1-'Reel Strips'!$K$28-'Reel Strips'!$K$37)+'Reel Strips'!$H$37*'Reel Strips'!$I$28*('Reel Strips'!$J$28+'Reel Strips'!$J$37)*(1-'Reel Strips'!$K$28-'Reel Strips'!$K$37)+'Reel Strips'!$H$37*'Reel Strips'!$I$37*'Reel Strips'!$J$28*(1-'Reel Strips'!$K$28-'Reel Strips'!$K$37)</f>
        <v/>
      </c>
      <c r="D14" s="12">
        <f>Paytable!G8</f>
        <v/>
      </c>
      <c r="E14" s="24">
        <f>C14*D14*10</f>
        <v/>
      </c>
      <c r="F14" s="25" t="n">
        <v>0.00267791748046875</v>
      </c>
    </row>
    <row r="15">
      <c r="A15" s="6" t="inlineStr">
        <is>
          <t>Luncheon Meat</t>
        </is>
      </c>
      <c r="B15" s="19" t="n">
        <v>4</v>
      </c>
      <c r="C15" s="23">
        <f>'Reel Strips'!$H$28*('Reel Strips'!$I$28+'Reel Strips'!$I$37)*('Reel Strips'!$J$28+'Reel Strips'!$J$37)*('Reel Strips'!$K$28+'Reel Strips'!$K$37)*(1-'Reel Strips'!$L$28-'Reel Strips'!$L$37)+'Reel Strips'!$H$37*'Reel Strips'!$I$28*('Reel Strips'!$J$28+'Reel Strips'!$J$37)*('Reel Strips'!$K$28+'Reel Strips'!$K$37)*(1-'Reel Strips'!$L$28-'Reel Strips'!$L$37)+'Reel Strips'!$H$37*'Reel Strips'!$I$37*'Reel Strips'!$J$28*('Reel Strips'!$K$28+'Reel Strips'!$K$37)*(1-'Reel Strips'!$L$28-'Reel Strips'!$L$37)+'Reel Strips'!$H$37*'Reel Strips'!$I$37*'Reel Strips'!$J$37*'Reel Strips'!$K$28*(1-'Reel Strips'!$L$28-'Reel Strips'!$L$37)</f>
        <v/>
      </c>
      <c r="D15" s="12">
        <f>Paytable!H8</f>
        <v/>
      </c>
      <c r="E15" s="24">
        <f>C15*D15*10</f>
        <v/>
      </c>
      <c r="F15" s="25" t="n">
        <v>0.0005021095275878906</v>
      </c>
    </row>
    <row r="16">
      <c r="A16" s="6" t="inlineStr">
        <is>
          <t>Luncheon Meat</t>
        </is>
      </c>
      <c r="B16" s="19" t="n">
        <v>5</v>
      </c>
      <c r="C16" s="23">
        <f>'Reel Strips'!$H$28*('Reel Strips'!$I$28+'Reel Strips'!$I$37)*('Reel Strips'!$J$28+'Reel Strips'!$J$37)*('Reel Strips'!$K$28+'Reel Strips'!$K$37)*('Reel Strips'!$L$28+'Reel Strips'!$L$37)+'Reel Strips'!$H$37*'Reel Strips'!$I$28*('Reel Strips'!$J$28+'Reel Strips'!$J$37)*('Reel Strips'!$K$28+'Reel Strips'!$K$37)*('Reel Strips'!$L$28+'Reel Strips'!$L$37)+'Reel Strips'!$H$37*'Reel Strips'!$I$37*'Reel Strips'!$J$28*('Reel Strips'!$K$28+'Reel Strips'!$K$37)*('Reel Strips'!$L$28+'Reel Strips'!$L$37)+'Reel Strips'!$H$37*'Reel Strips'!$I$37*'Reel Strips'!$J$37*'Reel Strips'!$K$28*('Reel Strips'!$L$28+'Reel Strips'!$L$37)+'Reel Strips'!$H$37*'Reel Strips'!$I$37*'Reel Strips'!$J$37*'Reel Strips'!$K$37*'Reel Strips'!$L$28</f>
        <v/>
      </c>
      <c r="D16" s="12">
        <f>Paytable!I8</f>
        <v/>
      </c>
      <c r="E16" s="24">
        <f>C16*D16*10</f>
        <v/>
      </c>
      <c r="F16" s="25" t="n">
        <v>0.0001158714294433594</v>
      </c>
    </row>
    <row r="17">
      <c r="A17" s="6" t="inlineStr">
        <is>
          <t>Flask</t>
        </is>
      </c>
      <c r="B17" s="19" t="n">
        <v>3</v>
      </c>
      <c r="C17" s="23">
        <f>'Reel Strips'!$H$29*('Reel Strips'!$I$29+'Reel Strips'!$I$37)*('Reel Strips'!$J$29+'Reel Strips'!$J$37)*(1-'Reel Strips'!$K$29-'Reel Strips'!$K$37)+'Reel Strips'!$H$37*'Reel Strips'!$I$29*('Reel Strips'!$J$29+'Reel Strips'!$J$37)*(1-'Reel Strips'!$K$29-'Reel Strips'!$K$37)+'Reel Strips'!$H$37*'Reel Strips'!$I$37*'Reel Strips'!$J$29*(1-'Reel Strips'!$K$29-'Reel Strips'!$K$37)</f>
        <v/>
      </c>
      <c r="D17" s="12">
        <f>Paytable!G9</f>
        <v/>
      </c>
      <c r="E17" s="24">
        <f>C17*D17*10</f>
        <v/>
      </c>
      <c r="F17" s="25" t="n">
        <v>0.00267791748046875</v>
      </c>
    </row>
    <row r="18">
      <c r="A18" s="6" t="inlineStr">
        <is>
          <t>Flask</t>
        </is>
      </c>
      <c r="B18" s="19" t="n">
        <v>4</v>
      </c>
      <c r="C18" s="23">
        <f>'Reel Strips'!$H$29*('Reel Strips'!$I$29+'Reel Strips'!$I$37)*('Reel Strips'!$J$29+'Reel Strips'!$J$37)*('Reel Strips'!$K$29+'Reel Strips'!$K$37)*(1-'Reel Strips'!$L$29-'Reel Strips'!$L$37)+'Reel Strips'!$H$37*'Reel Strips'!$I$29*('Reel Strips'!$J$29+'Reel Strips'!$J$37)*('Reel Strips'!$K$29+'Reel Strips'!$K$37)*(1-'Reel Strips'!$L$29-'Reel Strips'!$L$37)+'Reel Strips'!$H$37*'Reel Strips'!$I$37*'Reel Strips'!$J$29*('Reel Strips'!$K$29+'Reel Strips'!$K$37)*(1-'Reel Strips'!$L$29-'Reel Strips'!$L$37)+'Reel Strips'!$H$37*'Reel Strips'!$I$37*'Reel Strips'!$J$37*'Reel Strips'!$K$29*(1-'Reel Strips'!$L$29-'Reel Strips'!$L$37)</f>
        <v/>
      </c>
      <c r="D18" s="12">
        <f>Paytable!H9</f>
        <v/>
      </c>
      <c r="E18" s="24">
        <f>C18*D18*10</f>
        <v/>
      </c>
      <c r="F18" s="25" t="n">
        <v>0.0005214214324951172</v>
      </c>
    </row>
    <row r="19">
      <c r="A19" s="6" t="inlineStr">
        <is>
          <t>Flask</t>
        </is>
      </c>
      <c r="B19" s="19" t="n">
        <v>5</v>
      </c>
      <c r="C19" s="23">
        <f>'Reel Strips'!$H$29*('Reel Strips'!$I$29+'Reel Strips'!$I$37)*('Reel Strips'!$J$29+'Reel Strips'!$J$37)*('Reel Strips'!$K$29+'Reel Strips'!$K$37)*('Reel Strips'!$L$29+'Reel Strips'!$L$37)+'Reel Strips'!$H$37*'Reel Strips'!$I$29*('Reel Strips'!$J$29+'Reel Strips'!$J$37)*('Reel Strips'!$K$29+'Reel Strips'!$K$37)*('Reel Strips'!$L$29+'Reel Strips'!$L$37)+'Reel Strips'!$H$37*'Reel Strips'!$I$37*'Reel Strips'!$J$29*('Reel Strips'!$K$29+'Reel Strips'!$K$37)*('Reel Strips'!$L$29+'Reel Strips'!$L$37)+'Reel Strips'!$H$37*'Reel Strips'!$I$37*'Reel Strips'!$J$37*'Reel Strips'!$K$29*('Reel Strips'!$L$29+'Reel Strips'!$L$37)+'Reel Strips'!$H$37*'Reel Strips'!$I$37*'Reel Strips'!$J$37*'Reel Strips'!$K$37*'Reel Strips'!$L$29</f>
        <v/>
      </c>
      <c r="D19" s="12">
        <f>Paytable!I9</f>
        <v/>
      </c>
      <c r="E19" s="24">
        <f>C19*D19*10</f>
        <v/>
      </c>
      <c r="F19" s="25" t="n">
        <v>9.655952453613281e-05</v>
      </c>
    </row>
    <row r="20">
      <c r="A20" s="6" t="inlineStr">
        <is>
          <t>Catapult</t>
        </is>
      </c>
      <c r="B20" s="19" t="n">
        <v>3</v>
      </c>
      <c r="C20" s="23">
        <f>'Reel Strips'!$H$30*('Reel Strips'!$I$30+'Reel Strips'!$I$37)*('Reel Strips'!$J$30+'Reel Strips'!$J$37)*(1-'Reel Strips'!$K$30-'Reel Strips'!$K$37)+'Reel Strips'!$H$37*'Reel Strips'!$I$30*('Reel Strips'!$J$30+'Reel Strips'!$J$37)*(1-'Reel Strips'!$K$30-'Reel Strips'!$K$37)+'Reel Strips'!$H$37*'Reel Strips'!$I$37*'Reel Strips'!$J$30*(1-'Reel Strips'!$K$30-'Reel Strips'!$K$37)</f>
        <v/>
      </c>
      <c r="D20" s="12">
        <f>Paytable!G10</f>
        <v/>
      </c>
      <c r="E20" s="24">
        <f>C20*D20*10</f>
        <v/>
      </c>
      <c r="F20" s="25" t="n">
        <v>0.001931190490722656</v>
      </c>
    </row>
    <row r="21">
      <c r="A21" s="6" t="inlineStr">
        <is>
          <t>Catapult</t>
        </is>
      </c>
      <c r="B21" s="19" t="n">
        <v>4</v>
      </c>
      <c r="C21" s="23">
        <f>'Reel Strips'!$H$30*('Reel Strips'!$I$30+'Reel Strips'!$I$37)*('Reel Strips'!$J$30+'Reel Strips'!$J$37)*('Reel Strips'!$K$30+'Reel Strips'!$K$37)*(1-'Reel Strips'!$L$30-'Reel Strips'!$L$37)+'Reel Strips'!$H$37*'Reel Strips'!$I$30*('Reel Strips'!$J$30+'Reel Strips'!$J$37)*('Reel Strips'!$K$30+'Reel Strips'!$K$37)*(1-'Reel Strips'!$L$30-'Reel Strips'!$L$37)+'Reel Strips'!$H$37*'Reel Strips'!$I$37*'Reel Strips'!$J$30*('Reel Strips'!$K$30+'Reel Strips'!$K$37)*(1-'Reel Strips'!$L$30-'Reel Strips'!$L$37)+'Reel Strips'!$H$37*'Reel Strips'!$I$37*'Reel Strips'!$J$37*'Reel Strips'!$K$30*(1-'Reel Strips'!$L$30-'Reel Strips'!$L$37)</f>
        <v/>
      </c>
      <c r="D21" s="12">
        <f>Paytable!H10</f>
        <v/>
      </c>
      <c r="E21" s="24">
        <f>C21*D21*10</f>
        <v/>
      </c>
      <c r="F21" s="25" t="n">
        <v>0.000301748514175415</v>
      </c>
    </row>
    <row r="22">
      <c r="A22" s="6" t="inlineStr">
        <is>
          <t>Catapult</t>
        </is>
      </c>
      <c r="B22" s="19" t="n">
        <v>5</v>
      </c>
      <c r="C22" s="23">
        <f>'Reel Strips'!$H$30*('Reel Strips'!$I$30+'Reel Strips'!$I$37)*('Reel Strips'!$J$30+'Reel Strips'!$J$37)*('Reel Strips'!$K$30+'Reel Strips'!$K$37)*('Reel Strips'!$L$30+'Reel Strips'!$L$37)+'Reel Strips'!$H$37*'Reel Strips'!$I$30*('Reel Strips'!$J$30+'Reel Strips'!$J$37)*('Reel Strips'!$K$30+'Reel Strips'!$K$37)*('Reel Strips'!$L$30+'Reel Strips'!$L$37)+'Reel Strips'!$H$37*'Reel Strips'!$I$37*'Reel Strips'!$J$30*('Reel Strips'!$K$30+'Reel Strips'!$K$37)*('Reel Strips'!$L$30+'Reel Strips'!$L$37)+'Reel Strips'!$H$37*'Reel Strips'!$I$37*'Reel Strips'!$J$37*'Reel Strips'!$K$30*('Reel Strips'!$L$30+'Reel Strips'!$L$37)+'Reel Strips'!$H$37*'Reel Strips'!$I$37*'Reel Strips'!$J$37*'Reel Strips'!$K$37*'Reel Strips'!$L$30</f>
        <v/>
      </c>
      <c r="D22" s="12">
        <f>Paytable!I10</f>
        <v/>
      </c>
      <c r="E22" s="24">
        <f>C22*D22*10</f>
        <v/>
      </c>
      <c r="F22" s="25" t="n">
        <v>5.587935447692871e-05</v>
      </c>
    </row>
    <row r="23">
      <c r="A23" s="6" t="inlineStr">
        <is>
          <t>Landing Net</t>
        </is>
      </c>
      <c r="B23" s="19" t="n">
        <v>3</v>
      </c>
      <c r="C23" s="23">
        <f>'Reel Strips'!$H$31*('Reel Strips'!$I$31+'Reel Strips'!$I$37)*('Reel Strips'!$J$31+'Reel Strips'!$J$37)*(1-'Reel Strips'!$K$31-'Reel Strips'!$K$37)+'Reel Strips'!$H$37*'Reel Strips'!$I$31*('Reel Strips'!$J$31+'Reel Strips'!$J$37)*(1-'Reel Strips'!$K$31-'Reel Strips'!$K$37)+'Reel Strips'!$H$37*'Reel Strips'!$I$37*'Reel Strips'!$J$31*(1-'Reel Strips'!$K$31-'Reel Strips'!$K$37)</f>
        <v/>
      </c>
      <c r="D23" s="12">
        <f>Paytable!G11</f>
        <v/>
      </c>
      <c r="E23" s="24">
        <f>C23*D23*10</f>
        <v/>
      </c>
      <c r="F23" s="25" t="n">
        <v>0.001287460327148438</v>
      </c>
    </row>
    <row r="24">
      <c r="A24" s="6" t="inlineStr">
        <is>
          <t>Landing Net</t>
        </is>
      </c>
      <c r="B24" s="19" t="n">
        <v>4</v>
      </c>
      <c r="C24" s="23">
        <f>'Reel Strips'!$H$31*('Reel Strips'!$I$31+'Reel Strips'!$I$37)*('Reel Strips'!$J$31+'Reel Strips'!$J$37)*('Reel Strips'!$K$31+'Reel Strips'!$K$37)*(1-'Reel Strips'!$L$31-'Reel Strips'!$L$37)+'Reel Strips'!$H$37*'Reel Strips'!$I$31*('Reel Strips'!$J$31+'Reel Strips'!$J$37)*('Reel Strips'!$K$31+'Reel Strips'!$K$37)*(1-'Reel Strips'!$L$31-'Reel Strips'!$L$37)+'Reel Strips'!$H$37*'Reel Strips'!$I$37*'Reel Strips'!$J$31*('Reel Strips'!$K$31+'Reel Strips'!$K$37)*(1-'Reel Strips'!$L$31-'Reel Strips'!$L$37)+'Reel Strips'!$H$37*'Reel Strips'!$I$37*'Reel Strips'!$J$37*'Reel Strips'!$K$31*(1-'Reel Strips'!$L$31-'Reel Strips'!$L$37)</f>
        <v/>
      </c>
      <c r="D24" s="12">
        <f>Paytable!H11</f>
        <v/>
      </c>
      <c r="E24" s="24">
        <f>C24*D24*10</f>
        <v/>
      </c>
      <c r="F24" s="25" t="n">
        <v>0.0002086162567138672</v>
      </c>
    </row>
    <row r="25">
      <c r="A25" s="6" t="inlineStr">
        <is>
          <t>Landing Net</t>
        </is>
      </c>
      <c r="B25" s="19" t="n">
        <v>5</v>
      </c>
      <c r="C25" s="23">
        <f>'Reel Strips'!$H$31*('Reel Strips'!$I$31+'Reel Strips'!$I$37)*('Reel Strips'!$J$31+'Reel Strips'!$J$37)*('Reel Strips'!$K$31+'Reel Strips'!$K$37)*('Reel Strips'!$L$31+'Reel Strips'!$L$37)+'Reel Strips'!$H$37*'Reel Strips'!$I$31*('Reel Strips'!$J$31+'Reel Strips'!$J$37)*('Reel Strips'!$K$31+'Reel Strips'!$K$37)*('Reel Strips'!$L$31+'Reel Strips'!$L$37)+'Reel Strips'!$H$37*'Reel Strips'!$I$37*'Reel Strips'!$J$31*('Reel Strips'!$K$31+'Reel Strips'!$K$37)*('Reel Strips'!$L$31+'Reel Strips'!$L$37)+'Reel Strips'!$H$37*'Reel Strips'!$I$37*'Reel Strips'!$J$37*'Reel Strips'!$K$31*('Reel Strips'!$L$31+'Reel Strips'!$L$37)+'Reel Strips'!$H$37*'Reel Strips'!$I$37*'Reel Strips'!$J$37*'Reel Strips'!$K$37*'Reel Strips'!$L$31</f>
        <v/>
      </c>
      <c r="D25" s="12">
        <f>Paytable!I11</f>
        <v/>
      </c>
      <c r="E25" s="24">
        <f>C25*D25*10</f>
        <v/>
      </c>
      <c r="F25" s="25" t="n">
        <v>2.980232238769531e-05</v>
      </c>
    </row>
    <row r="26">
      <c r="A26" s="6" t="inlineStr">
        <is>
          <t>Bivvy</t>
        </is>
      </c>
      <c r="B26" s="19" t="n">
        <v>3</v>
      </c>
      <c r="C26" s="23">
        <f>'Reel Strips'!$H$32*('Reel Strips'!$I$32+'Reel Strips'!$I$37)*('Reel Strips'!$J$32+'Reel Strips'!$J$37)*(1-'Reel Strips'!$K$32-'Reel Strips'!$K$37)+'Reel Strips'!$H$37*'Reel Strips'!$I$32*('Reel Strips'!$J$32+'Reel Strips'!$J$37)*(1-'Reel Strips'!$K$32-'Reel Strips'!$K$37)+'Reel Strips'!$H$37*'Reel Strips'!$I$37*'Reel Strips'!$J$32*(1-'Reel Strips'!$K$32-'Reel Strips'!$K$37)</f>
        <v/>
      </c>
      <c r="D26" s="12">
        <f>Paytable!G12</f>
        <v/>
      </c>
      <c r="E26" s="24">
        <f>C26*D26*10</f>
        <v/>
      </c>
      <c r="F26" s="25" t="n">
        <v>0.0006437301635742188</v>
      </c>
    </row>
    <row r="27">
      <c r="A27" s="6" t="inlineStr">
        <is>
          <t>Bivvy</t>
        </is>
      </c>
      <c r="B27" s="19" t="n">
        <v>4</v>
      </c>
      <c r="C27" s="23">
        <f>'Reel Strips'!$H$32*('Reel Strips'!$I$32+'Reel Strips'!$I$37)*('Reel Strips'!$J$32+'Reel Strips'!$J$37)*('Reel Strips'!$K$32+'Reel Strips'!$K$37)*(1-'Reel Strips'!$L$32-'Reel Strips'!$L$37)+'Reel Strips'!$H$37*'Reel Strips'!$I$32*('Reel Strips'!$J$32+'Reel Strips'!$J$37)*('Reel Strips'!$K$32+'Reel Strips'!$K$37)*(1-'Reel Strips'!$L$32-'Reel Strips'!$L$37)+'Reel Strips'!$H$37*'Reel Strips'!$I$37*'Reel Strips'!$J$32*('Reel Strips'!$K$32+'Reel Strips'!$K$37)*(1-'Reel Strips'!$L$32-'Reel Strips'!$L$37)+'Reel Strips'!$H$37*'Reel Strips'!$I$37*'Reel Strips'!$J$37*'Reel Strips'!$K$32*(1-'Reel Strips'!$L$32-'Reel Strips'!$L$37)</f>
        <v/>
      </c>
      <c r="D27" s="12">
        <f>Paytable!H12</f>
        <v/>
      </c>
      <c r="E27" s="24">
        <f>C27*D27*10</f>
        <v/>
      </c>
      <c r="F27" s="25" t="n">
        <v>0.0001043081283569336</v>
      </c>
    </row>
    <row r="28">
      <c r="A28" s="6" t="inlineStr">
        <is>
          <t>Bivvy</t>
        </is>
      </c>
      <c r="B28" s="19" t="n">
        <v>5</v>
      </c>
      <c r="C28" s="23">
        <f>'Reel Strips'!$H$32*('Reel Strips'!$I$32+'Reel Strips'!$I$37)*('Reel Strips'!$J$32+'Reel Strips'!$J$37)*('Reel Strips'!$K$32+'Reel Strips'!$K$37)*('Reel Strips'!$L$32+'Reel Strips'!$L$37)+'Reel Strips'!$H$37*'Reel Strips'!$I$32*('Reel Strips'!$J$32+'Reel Strips'!$J$37)*('Reel Strips'!$K$32+'Reel Strips'!$K$37)*('Reel Strips'!$L$32+'Reel Strips'!$L$37)+'Reel Strips'!$H$37*'Reel Strips'!$I$37*'Reel Strips'!$J$32*('Reel Strips'!$K$32+'Reel Strips'!$K$37)*('Reel Strips'!$L$32+'Reel Strips'!$L$37)+'Reel Strips'!$H$37*'Reel Strips'!$I$37*'Reel Strips'!$J$37*'Reel Strips'!$K$32*('Reel Strips'!$L$32+'Reel Strips'!$L$37)+'Reel Strips'!$H$37*'Reel Strips'!$I$37*'Reel Strips'!$J$37*'Reel Strips'!$K$37*'Reel Strips'!$L$32</f>
        <v/>
      </c>
      <c r="D28" s="12">
        <f>Paytable!I12</f>
        <v/>
      </c>
      <c r="E28" s="24">
        <f>C28*D28*10</f>
        <v/>
      </c>
      <c r="F28" s="25" t="n">
        <v>1.490116119384766e-05</v>
      </c>
    </row>
    <row r="29">
      <c r="A29" s="6" t="inlineStr">
        <is>
          <t>Roach</t>
        </is>
      </c>
      <c r="B29" s="19" t="n">
        <v>3</v>
      </c>
      <c r="C29" s="23">
        <f>'Reel Strips'!$H$33*('Reel Strips'!$I$33+'Reel Strips'!$I$37)*('Reel Strips'!$J$33+'Reel Strips'!$J$37)*(1-'Reel Strips'!$K$33-'Reel Strips'!$K$37)+'Reel Strips'!$H$37*'Reel Strips'!$I$33*('Reel Strips'!$J$33+'Reel Strips'!$J$37)*(1-'Reel Strips'!$K$33-'Reel Strips'!$K$37)+'Reel Strips'!$H$37*'Reel Strips'!$I$37*'Reel Strips'!$J$33*(1-'Reel Strips'!$K$33-'Reel Strips'!$K$37)</f>
        <v/>
      </c>
      <c r="D29" s="12">
        <f>Paytable!G13</f>
        <v/>
      </c>
      <c r="E29" s="24">
        <f>C29*D29*10</f>
        <v/>
      </c>
      <c r="F29" s="25" t="n">
        <v>0.00042724609375</v>
      </c>
    </row>
    <row r="30">
      <c r="A30" s="6" t="inlineStr">
        <is>
          <t>Roach</t>
        </is>
      </c>
      <c r="B30" s="19" t="n">
        <v>4</v>
      </c>
      <c r="C30" s="23">
        <f>'Reel Strips'!$H$33*('Reel Strips'!$I$33+'Reel Strips'!$I$37)*('Reel Strips'!$J$33+'Reel Strips'!$J$37)*('Reel Strips'!$K$33+'Reel Strips'!$K$37)*(1-'Reel Strips'!$L$33-'Reel Strips'!$L$37)+'Reel Strips'!$H$37*'Reel Strips'!$I$33*('Reel Strips'!$J$33+'Reel Strips'!$J$37)*('Reel Strips'!$K$33+'Reel Strips'!$K$37)*(1-'Reel Strips'!$L$33-'Reel Strips'!$L$37)+'Reel Strips'!$H$37*'Reel Strips'!$I$37*'Reel Strips'!$J$33*('Reel Strips'!$K$33+'Reel Strips'!$K$37)*(1-'Reel Strips'!$L$33-'Reel Strips'!$L$37)+'Reel Strips'!$H$37*'Reel Strips'!$I$37*'Reel Strips'!$J$37*'Reel Strips'!$K$33*(1-'Reel Strips'!$L$33-'Reel Strips'!$L$37)</f>
        <v/>
      </c>
      <c r="D30" s="12">
        <f>Paytable!H13</f>
        <v/>
      </c>
      <c r="E30" s="24">
        <f>C30*D30*10</f>
        <v/>
      </c>
      <c r="F30" s="25" t="n">
        <v>5.53131103515625e-05</v>
      </c>
    </row>
    <row r="31">
      <c r="A31" s="6" t="inlineStr">
        <is>
          <t>Roach</t>
        </is>
      </c>
      <c r="B31" s="19" t="n">
        <v>5</v>
      </c>
      <c r="C31" s="23">
        <f>'Reel Strips'!$H$33*('Reel Strips'!$I$33+'Reel Strips'!$I$37)*('Reel Strips'!$J$33+'Reel Strips'!$J$37)*('Reel Strips'!$K$33+'Reel Strips'!$K$37)*('Reel Strips'!$L$33+'Reel Strips'!$L$37)+'Reel Strips'!$H$37*'Reel Strips'!$I$33*('Reel Strips'!$J$33+'Reel Strips'!$J$37)*('Reel Strips'!$K$33+'Reel Strips'!$K$37)*('Reel Strips'!$L$33+'Reel Strips'!$L$37)+'Reel Strips'!$H$37*'Reel Strips'!$I$37*'Reel Strips'!$J$33*('Reel Strips'!$K$33+'Reel Strips'!$K$37)*('Reel Strips'!$L$33+'Reel Strips'!$L$37)+'Reel Strips'!$H$37*'Reel Strips'!$I$37*'Reel Strips'!$J$37*'Reel Strips'!$K$33*('Reel Strips'!$L$33+'Reel Strips'!$L$37)+'Reel Strips'!$H$37*'Reel Strips'!$I$37*'Reel Strips'!$J$37*'Reel Strips'!$K$37*'Reel Strips'!$L$33</f>
        <v/>
      </c>
      <c r="D31" s="12">
        <f>Paytable!I13</f>
        <v/>
      </c>
      <c r="E31" s="24">
        <f>C31*D31*10</f>
        <v/>
      </c>
      <c r="F31" s="25" t="n">
        <v>5.7220458984375e-06</v>
      </c>
    </row>
    <row r="32">
      <c r="A32" s="6" t="inlineStr">
        <is>
          <t>Bream</t>
        </is>
      </c>
      <c r="B32" s="19" t="n">
        <v>3</v>
      </c>
      <c r="C32" s="23">
        <f>'Reel Strips'!$H$34*('Reel Strips'!$I$34+'Reel Strips'!$I$37)*('Reel Strips'!$J$34+'Reel Strips'!$J$37)*(1-'Reel Strips'!$K$34-'Reel Strips'!$K$37)+'Reel Strips'!$H$37*'Reel Strips'!$I$34*('Reel Strips'!$J$34+'Reel Strips'!$J$37)*(1-'Reel Strips'!$K$34-'Reel Strips'!$K$37)+'Reel Strips'!$H$37*'Reel Strips'!$I$37*'Reel Strips'!$J$34*(1-'Reel Strips'!$K$34-'Reel Strips'!$K$37)</f>
        <v/>
      </c>
      <c r="D32" s="12">
        <f>Paytable!G14</f>
        <v/>
      </c>
      <c r="E32" s="24">
        <f>C32*D32*10</f>
        <v/>
      </c>
      <c r="F32" s="25" t="n">
        <v>0.00042724609375</v>
      </c>
    </row>
    <row r="33">
      <c r="A33" s="6" t="inlineStr">
        <is>
          <t>Bream</t>
        </is>
      </c>
      <c r="B33" s="19" t="n">
        <v>4</v>
      </c>
      <c r="C33" s="23">
        <f>'Reel Strips'!$H$34*('Reel Strips'!$I$34+'Reel Strips'!$I$37)*('Reel Strips'!$J$34+'Reel Strips'!$J$37)*('Reel Strips'!$K$34+'Reel Strips'!$K$37)*(1-'Reel Strips'!$L$34-'Reel Strips'!$L$37)+'Reel Strips'!$H$37*'Reel Strips'!$I$34*('Reel Strips'!$J$34+'Reel Strips'!$J$37)*('Reel Strips'!$K$34+'Reel Strips'!$K$37)*(1-'Reel Strips'!$L$34-'Reel Strips'!$L$37)+'Reel Strips'!$H$37*'Reel Strips'!$I$37*'Reel Strips'!$J$34*('Reel Strips'!$K$34+'Reel Strips'!$K$37)*(1-'Reel Strips'!$L$34-'Reel Strips'!$L$37)+'Reel Strips'!$H$37*'Reel Strips'!$I$37*'Reel Strips'!$J$37*'Reel Strips'!$K$34*(1-'Reel Strips'!$L$34-'Reel Strips'!$L$37)</f>
        <v/>
      </c>
      <c r="D33" s="12">
        <f>Paytable!H14</f>
        <v/>
      </c>
      <c r="E33" s="24">
        <f>C33*D33*10</f>
        <v/>
      </c>
      <c r="F33" s="25" t="n">
        <v>5.53131103515625e-05</v>
      </c>
    </row>
    <row r="34">
      <c r="A34" s="6" t="inlineStr">
        <is>
          <t>Bream</t>
        </is>
      </c>
      <c r="B34" s="19" t="n">
        <v>5</v>
      </c>
      <c r="C34" s="23">
        <f>'Reel Strips'!$H$34*('Reel Strips'!$I$34+'Reel Strips'!$I$37)*('Reel Strips'!$J$34+'Reel Strips'!$J$37)*('Reel Strips'!$K$34+'Reel Strips'!$K$37)*('Reel Strips'!$L$34+'Reel Strips'!$L$37)+'Reel Strips'!$H$37*'Reel Strips'!$I$34*('Reel Strips'!$J$34+'Reel Strips'!$J$37)*('Reel Strips'!$K$34+'Reel Strips'!$K$37)*('Reel Strips'!$L$34+'Reel Strips'!$L$37)+'Reel Strips'!$H$37*'Reel Strips'!$I$37*'Reel Strips'!$J$34*('Reel Strips'!$K$34+'Reel Strips'!$K$37)*('Reel Strips'!$L$34+'Reel Strips'!$L$37)+'Reel Strips'!$H$37*'Reel Strips'!$I$37*'Reel Strips'!$J$37*'Reel Strips'!$K$34*('Reel Strips'!$L$34+'Reel Strips'!$L$37)+'Reel Strips'!$H$37*'Reel Strips'!$I$37*'Reel Strips'!$J$37*'Reel Strips'!$K$37*'Reel Strips'!$L$34</f>
        <v/>
      </c>
      <c r="D34" s="12">
        <f>Paytable!I14</f>
        <v/>
      </c>
      <c r="E34" s="24">
        <f>C34*D34*10</f>
        <v/>
      </c>
      <c r="F34" s="25" t="n">
        <v>5.7220458984375e-06</v>
      </c>
    </row>
    <row r="35">
      <c r="A35" s="6" t="inlineStr">
        <is>
          <t>Tench</t>
        </is>
      </c>
      <c r="B35" s="19" t="n">
        <v>3</v>
      </c>
      <c r="C35" s="23">
        <f>'Reel Strips'!$H$35*('Reel Strips'!$I$35+'Reel Strips'!$I$37)*('Reel Strips'!$J$35+'Reel Strips'!$J$37)*(1-'Reel Strips'!$K$35-'Reel Strips'!$K$37)+'Reel Strips'!$H$37*'Reel Strips'!$I$35*('Reel Strips'!$J$35+'Reel Strips'!$J$37)*(1-'Reel Strips'!$K$35-'Reel Strips'!$K$37)+'Reel Strips'!$H$37*'Reel Strips'!$I$37*'Reel Strips'!$J$35*(1-'Reel Strips'!$K$35-'Reel Strips'!$K$37)</f>
        <v/>
      </c>
      <c r="D35" s="12">
        <f>Paytable!G15</f>
        <v/>
      </c>
      <c r="E35" s="24">
        <f>C35*D35*10</f>
        <v/>
      </c>
      <c r="F35" s="25" t="n">
        <v>0.00042724609375</v>
      </c>
    </row>
    <row r="36">
      <c r="A36" s="6" t="inlineStr">
        <is>
          <t>Tench</t>
        </is>
      </c>
      <c r="B36" s="19" t="n">
        <v>4</v>
      </c>
      <c r="C36" s="23">
        <f>'Reel Strips'!$H$35*('Reel Strips'!$I$35+'Reel Strips'!$I$37)*('Reel Strips'!$J$35+'Reel Strips'!$J$37)*('Reel Strips'!$K$35+'Reel Strips'!$K$37)*(1-'Reel Strips'!$L$35-'Reel Strips'!$L$37)+'Reel Strips'!$H$37*'Reel Strips'!$I$35*('Reel Strips'!$J$35+'Reel Strips'!$J$37)*('Reel Strips'!$K$35+'Reel Strips'!$K$37)*(1-'Reel Strips'!$L$35-'Reel Strips'!$L$37)+'Reel Strips'!$H$37*'Reel Strips'!$I$37*'Reel Strips'!$J$35*('Reel Strips'!$K$35+'Reel Strips'!$K$37)*(1-'Reel Strips'!$L$35-'Reel Strips'!$L$37)+'Reel Strips'!$H$37*'Reel Strips'!$I$37*'Reel Strips'!$J$37*'Reel Strips'!$K$35*(1-'Reel Strips'!$L$35-'Reel Strips'!$L$37)</f>
        <v/>
      </c>
      <c r="D36" s="12">
        <f>Paytable!H15</f>
        <v/>
      </c>
      <c r="E36" s="24">
        <f>C36*D36*10</f>
        <v/>
      </c>
      <c r="F36" s="25" t="n">
        <v>5.53131103515625e-05</v>
      </c>
    </row>
    <row r="37">
      <c r="A37" s="6" t="inlineStr">
        <is>
          <t>Tench</t>
        </is>
      </c>
      <c r="B37" s="19" t="n">
        <v>5</v>
      </c>
      <c r="C37" s="23">
        <f>'Reel Strips'!$H$35*('Reel Strips'!$I$35+'Reel Strips'!$I$37)*('Reel Strips'!$J$35+'Reel Strips'!$J$37)*('Reel Strips'!$K$35+'Reel Strips'!$K$37)*('Reel Strips'!$L$35+'Reel Strips'!$L$37)+'Reel Strips'!$H$37*'Reel Strips'!$I$35*('Reel Strips'!$J$35+'Reel Strips'!$J$37)*('Reel Strips'!$K$35+'Reel Strips'!$K$37)*('Reel Strips'!$L$35+'Reel Strips'!$L$37)+'Reel Strips'!$H$37*'Reel Strips'!$I$37*'Reel Strips'!$J$35*('Reel Strips'!$K$35+'Reel Strips'!$K$37)*('Reel Strips'!$L$35+'Reel Strips'!$L$37)+'Reel Strips'!$H$37*'Reel Strips'!$I$37*'Reel Strips'!$J$37*'Reel Strips'!$K$35*('Reel Strips'!$L$35+'Reel Strips'!$L$37)+'Reel Strips'!$H$37*'Reel Strips'!$I$37*'Reel Strips'!$J$37*'Reel Strips'!$K$37*'Reel Strips'!$L$35</f>
        <v/>
      </c>
      <c r="D37" s="12">
        <f>Paytable!I15</f>
        <v/>
      </c>
      <c r="E37" s="24">
        <f>C37*D37*10</f>
        <v/>
      </c>
      <c r="F37" s="25" t="n">
        <v>5.7220458984375e-06</v>
      </c>
    </row>
    <row r="38">
      <c r="A38" s="6" t="inlineStr">
        <is>
          <t>Mirror Carp</t>
        </is>
      </c>
      <c r="B38" s="19" t="n">
        <v>3</v>
      </c>
      <c r="C38" s="23">
        <f>'Reel Strips'!$H$36*('Reel Strips'!$I$36+'Reel Strips'!$I$37)*('Reel Strips'!$J$36+'Reel Strips'!$J$37)*(1-'Reel Strips'!$K$36-'Reel Strips'!$K$37)+'Reel Strips'!$H$37*'Reel Strips'!$I$36*('Reel Strips'!$J$36+'Reel Strips'!$J$37)*(1-'Reel Strips'!$K$36-'Reel Strips'!$K$37)+'Reel Strips'!$H$37*'Reel Strips'!$I$37*'Reel Strips'!$J$36*(1-'Reel Strips'!$K$36-'Reel Strips'!$K$37)</f>
        <v/>
      </c>
      <c r="D38" s="12">
        <f>Paytable!G16</f>
        <v/>
      </c>
      <c r="E38" s="24">
        <f>C38*D38*10</f>
        <v/>
      </c>
      <c r="F38" s="25" t="n">
        <v>0.00042724609375</v>
      </c>
    </row>
    <row r="39">
      <c r="A39" s="6" t="inlineStr">
        <is>
          <t>Mirror Carp</t>
        </is>
      </c>
      <c r="B39" s="19" t="n">
        <v>4</v>
      </c>
      <c r="C39" s="23">
        <f>'Reel Strips'!$H$36*('Reel Strips'!$I$36+'Reel Strips'!$I$37)*('Reel Strips'!$J$36+'Reel Strips'!$J$37)*('Reel Strips'!$K$36+'Reel Strips'!$K$37)*(1-'Reel Strips'!$L$36-'Reel Strips'!$L$37)+'Reel Strips'!$H$37*'Reel Strips'!$I$36*('Reel Strips'!$J$36+'Reel Strips'!$J$37)*('Reel Strips'!$K$36+'Reel Strips'!$K$37)*(1-'Reel Strips'!$L$36-'Reel Strips'!$L$37)+'Reel Strips'!$H$37*'Reel Strips'!$I$37*'Reel Strips'!$J$36*('Reel Strips'!$K$36+'Reel Strips'!$K$37)*(1-'Reel Strips'!$L$36-'Reel Strips'!$L$37)+'Reel Strips'!$H$37*'Reel Strips'!$I$37*'Reel Strips'!$J$37*'Reel Strips'!$K$36*(1-'Reel Strips'!$L$36-'Reel Strips'!$L$37)</f>
        <v/>
      </c>
      <c r="D39" s="12">
        <f>Paytable!H16</f>
        <v/>
      </c>
      <c r="E39" s="24">
        <f>C39*D39*10</f>
        <v/>
      </c>
      <c r="F39" s="25" t="n">
        <v>5.53131103515625e-05</v>
      </c>
    </row>
    <row r="40">
      <c r="A40" s="6" t="inlineStr">
        <is>
          <t>Mirror Carp</t>
        </is>
      </c>
      <c r="B40" s="19" t="n">
        <v>5</v>
      </c>
      <c r="C40" s="23">
        <f>'Reel Strips'!$H$36*('Reel Strips'!$I$36+'Reel Strips'!$I$37)*('Reel Strips'!$J$36+'Reel Strips'!$J$37)*('Reel Strips'!$K$36+'Reel Strips'!$K$37)*('Reel Strips'!$L$36+'Reel Strips'!$L$37)+'Reel Strips'!$H$37*'Reel Strips'!$I$36*('Reel Strips'!$J$36+'Reel Strips'!$J$37)*('Reel Strips'!$K$36+'Reel Strips'!$K$37)*('Reel Strips'!$L$36+'Reel Strips'!$L$37)+'Reel Strips'!$H$37*'Reel Strips'!$I$37*'Reel Strips'!$J$36*('Reel Strips'!$K$36+'Reel Strips'!$K$37)*('Reel Strips'!$L$36+'Reel Strips'!$L$37)+'Reel Strips'!$H$37*'Reel Strips'!$I$37*'Reel Strips'!$J$37*'Reel Strips'!$K$36*('Reel Strips'!$L$36+'Reel Strips'!$L$37)+'Reel Strips'!$H$37*'Reel Strips'!$I$37*'Reel Strips'!$J$37*'Reel Strips'!$K$37*'Reel Strips'!$L$36+'Reel Strips'!$H$37*'Reel Strips'!$I$37*'Reel Strips'!$J$37*'Reel Strips'!$K$37*'Reel Strips'!$L$37</f>
        <v/>
      </c>
      <c r="D40" s="12">
        <f>Paytable!I16</f>
        <v/>
      </c>
      <c r="E40" s="24">
        <f>C40*D40*10</f>
        <v/>
      </c>
      <c r="F40" s="25" t="n">
        <v>5.7220458984375e-06</v>
      </c>
    </row>
    <row r="41">
      <c r="A41" s="4" t="inlineStr">
        <is>
          <t>Total line RTP</t>
        </is>
      </c>
      <c r="E41" s="26">
        <f>SUM(E5:E40)</f>
        <v/>
      </c>
    </row>
    <row r="42">
      <c r="A42" s="6" t="inlineStr">
        <is>
          <t>Max difference vs engine exact (should be ~0)</t>
        </is>
      </c>
      <c r="C42" s="27">
        <f>SUMPRODUCT(ABS(C5:C40-F5:F40))</f>
        <v/>
      </c>
    </row>
    <row r="44">
      <c r="A44" s="2" t="inlineStr">
        <is>
          <t>Column F: same probability computed independently by math/par_sheet.mjs from the engine rules (cross-check).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cols>
    <col width="14" customWidth="1" min="1" max="1"/>
    <col width="15" customWidth="1" min="2" max="2"/>
    <col width="13" customWidth="1" min="3" max="3"/>
    <col width="13" customWidth="1" min="4" max="4"/>
    <col width="20" customWidth="1" min="5" max="5"/>
    <col width="12" customWidth="1" min="6" max="6"/>
  </cols>
  <sheetData>
    <row r="1">
      <c r="A1" s="1" t="inlineStr">
        <is>
          <t>Specimen Fish (cash) values in free spins</t>
        </is>
      </c>
    </row>
    <row r="2">
      <c r="A2" s="2" t="inlineStr">
        <is>
          <t>Each Specimen Fish that lands is weighed: one weight is drawn with the probabilities below and paid at once.</t>
        </is>
      </c>
    </row>
    <row r="4">
      <c r="A4" s="3" t="inlineStr">
        <is>
          <t>Weight</t>
        </is>
      </c>
      <c r="B4" s="3" t="inlineStr">
        <is>
          <t>Prize (x stake)</t>
        </is>
      </c>
      <c r="C4" s="3" t="inlineStr">
        <is>
          <t>Draw weight</t>
        </is>
      </c>
      <c r="D4" s="3" t="inlineStr">
        <is>
          <t>Probability</t>
        </is>
      </c>
      <c r="E4" s="3" t="inlineStr">
        <is>
          <t>Contribution to mean</t>
        </is>
      </c>
      <c r="F4" s="3" t="inlineStr">
        <is>
          <t>1 in</t>
        </is>
      </c>
    </row>
    <row r="5">
      <c r="A5" s="6" t="inlineStr">
        <is>
          <t>2lb 4oz</t>
        </is>
      </c>
      <c r="B5" s="16" t="n">
        <v>0.5</v>
      </c>
      <c r="C5" s="15" t="n">
        <v>396</v>
      </c>
      <c r="D5" s="28">
        <f>C5/SUM($C$5:$C$16)</f>
        <v/>
      </c>
      <c r="E5" s="29">
        <f>B5*D5</f>
        <v/>
      </c>
      <c r="F5" s="19">
        <f>1/D5</f>
        <v/>
      </c>
    </row>
    <row r="6">
      <c r="A6" s="6" t="inlineStr">
        <is>
          <t>4lb 0oz</t>
        </is>
      </c>
      <c r="B6" s="16" t="n">
        <v>1</v>
      </c>
      <c r="C6" s="15" t="n">
        <v>250</v>
      </c>
      <c r="D6" s="28">
        <f>C6/SUM($C$5:$C$16)</f>
        <v/>
      </c>
      <c r="E6" s="29">
        <f>B6*D6</f>
        <v/>
      </c>
      <c r="F6" s="19">
        <f>1/D6</f>
        <v/>
      </c>
    </row>
    <row r="7">
      <c r="A7" s="6" t="inlineStr">
        <is>
          <t>6lb 8oz</t>
        </is>
      </c>
      <c r="B7" s="16" t="n">
        <v>2</v>
      </c>
      <c r="C7" s="15" t="n">
        <v>170</v>
      </c>
      <c r="D7" s="28">
        <f>C7/SUM($C$5:$C$16)</f>
        <v/>
      </c>
      <c r="E7" s="29">
        <f>B7*D7</f>
        <v/>
      </c>
      <c r="F7" s="19">
        <f>1/D7</f>
        <v/>
      </c>
    </row>
    <row r="8">
      <c r="A8" s="6" t="inlineStr">
        <is>
          <t>9lb 12oz</t>
        </is>
      </c>
      <c r="B8" s="16" t="n">
        <v>3</v>
      </c>
      <c r="C8" s="15" t="n">
        <v>110</v>
      </c>
      <c r="D8" s="28">
        <f>C8/SUM($C$5:$C$16)</f>
        <v/>
      </c>
      <c r="E8" s="29">
        <f>B8*D8</f>
        <v/>
      </c>
      <c r="F8" s="19">
        <f>1/D8</f>
        <v/>
      </c>
    </row>
    <row r="9">
      <c r="A9" s="6" t="inlineStr">
        <is>
          <t>14lb 0oz</t>
        </is>
      </c>
      <c r="B9" s="16" t="n">
        <v>5</v>
      </c>
      <c r="C9" s="15" t="n">
        <v>80</v>
      </c>
      <c r="D9" s="28">
        <f>C9/SUM($C$5:$C$16)</f>
        <v/>
      </c>
      <c r="E9" s="29">
        <f>B9*D9</f>
        <v/>
      </c>
      <c r="F9" s="19">
        <f>1/D9</f>
        <v/>
      </c>
    </row>
    <row r="10">
      <c r="A10" s="6" t="inlineStr">
        <is>
          <t>19lb 8oz</t>
        </is>
      </c>
      <c r="B10" s="16" t="n">
        <v>8</v>
      </c>
      <c r="C10" s="15" t="n">
        <v>38</v>
      </c>
      <c r="D10" s="28">
        <f>C10/SUM($C$5:$C$16)</f>
        <v/>
      </c>
      <c r="E10" s="29">
        <f>B10*D10</f>
        <v/>
      </c>
      <c r="F10" s="19">
        <f>1/D10</f>
        <v/>
      </c>
    </row>
    <row r="11">
      <c r="A11" s="6" t="inlineStr">
        <is>
          <t>26lb 0oz</t>
        </is>
      </c>
      <c r="B11" s="16" t="n">
        <v>12</v>
      </c>
      <c r="C11" s="15" t="n">
        <v>22.5</v>
      </c>
      <c r="D11" s="28">
        <f>C11/SUM($C$5:$C$16)</f>
        <v/>
      </c>
      <c r="E11" s="29">
        <f>B11*D11</f>
        <v/>
      </c>
      <c r="F11" s="19">
        <f>1/D11</f>
        <v/>
      </c>
    </row>
    <row r="12">
      <c r="A12" s="6" t="inlineStr">
        <is>
          <t>32lb 8oz</t>
        </is>
      </c>
      <c r="B12" s="16" t="n">
        <v>20</v>
      </c>
      <c r="C12" s="15" t="n">
        <v>13</v>
      </c>
      <c r="D12" s="28">
        <f>C12/SUM($C$5:$C$16)</f>
        <v/>
      </c>
      <c r="E12" s="29">
        <f>B12*D12</f>
        <v/>
      </c>
      <c r="F12" s="19">
        <f>1/D12</f>
        <v/>
      </c>
    </row>
    <row r="13">
      <c r="A13" s="6" t="inlineStr">
        <is>
          <t>38lb 12oz</t>
        </is>
      </c>
      <c r="B13" s="16" t="n">
        <v>50</v>
      </c>
      <c r="C13" s="15" t="n">
        <v>6.5</v>
      </c>
      <c r="D13" s="28">
        <f>C13/SUM($C$5:$C$16)</f>
        <v/>
      </c>
      <c r="E13" s="29">
        <f>B13*D13</f>
        <v/>
      </c>
      <c r="F13" s="19">
        <f>1/D13</f>
        <v/>
      </c>
    </row>
    <row r="14">
      <c r="A14" s="6" t="inlineStr">
        <is>
          <t>45lb 4oz</t>
        </is>
      </c>
      <c r="B14" s="16" t="n">
        <v>100</v>
      </c>
      <c r="C14" s="15" t="n">
        <v>1.75</v>
      </c>
      <c r="D14" s="28">
        <f>C14/SUM($C$5:$C$16)</f>
        <v/>
      </c>
      <c r="E14" s="29">
        <f>B14*D14</f>
        <v/>
      </c>
      <c r="F14" s="19">
        <f>1/D14</f>
        <v/>
      </c>
    </row>
    <row r="15">
      <c r="A15" s="6" t="inlineStr">
        <is>
          <t>52lb 0oz</t>
        </is>
      </c>
      <c r="B15" s="16" t="n">
        <v>250</v>
      </c>
      <c r="C15" s="15" t="n">
        <v>0.5</v>
      </c>
      <c r="D15" s="28">
        <f>C15/SUM($C$5:$C$16)</f>
        <v/>
      </c>
      <c r="E15" s="29">
        <f>B15*D15</f>
        <v/>
      </c>
      <c r="F15" s="19">
        <f>1/D15</f>
        <v/>
      </c>
    </row>
    <row r="16">
      <c r="A16" s="6" t="inlineStr">
        <is>
          <t>64lb 8oz</t>
        </is>
      </c>
      <c r="B16" s="16" t="n">
        <v>1000</v>
      </c>
      <c r="C16" s="15" t="n">
        <v>0.1</v>
      </c>
      <c r="D16" s="28">
        <f>C16/SUM($C$5:$C$16)</f>
        <v/>
      </c>
      <c r="E16" s="29">
        <f>B16*D16</f>
        <v/>
      </c>
      <c r="F16" s="19">
        <f>1/D16</f>
        <v/>
      </c>
    </row>
    <row r="18">
      <c r="A18" s="4" t="inlineStr">
        <is>
          <t>Mean fish value</t>
        </is>
      </c>
      <c r="E18" s="30">
        <f>SUM(E5:E16)</f>
        <v/>
      </c>
    </row>
    <row r="20">
      <c r="A20" s="2" t="inlineStr">
        <is>
          <t>Source: FISH table in client/src/engine.js. Record fish: 52lb 0oz (250x) and 64lb 8oz (1,000x).</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44" customWidth="1" min="1" max="1"/>
    <col width="14" customWidth="1" min="2" max="2"/>
    <col width="30" customWidth="1" min="3" max="3"/>
    <col width="16" customWidth="1" min="4" max="4"/>
  </cols>
  <sheetData>
    <row r="1">
      <c r="A1" s="1" t="inlineStr">
        <is>
          <t>Kingfisher (base game random event)</t>
        </is>
      </c>
    </row>
    <row r="2">
      <c r="A2" s="2" t="inlineStr">
        <is>
          <t>On a base spin the kingfisher may visit: it turns reels 2, 3 and 4 on one random row into Leather Carp wilds, plus any extra spots at random elsewhere on reels 2-5. A spot holding a Bite Alarm keeps the alarm.</t>
        </is>
      </c>
    </row>
    <row r="4">
      <c r="A4" s="6" t="inlineStr">
        <is>
          <t>Chance per base spin</t>
        </is>
      </c>
      <c r="B4" s="25" t="n">
        <v>0.003333333333333334</v>
      </c>
      <c r="C4" s="2" t="inlineStr">
        <is>
          <t>engine.js KINGFISHER_CHANCE</t>
        </is>
      </c>
    </row>
    <row r="5">
      <c r="A5" s="6" t="inlineStr">
        <is>
          <t>Kingfisher: 1 in</t>
        </is>
      </c>
      <c r="B5" s="19">
        <f>1/B4</f>
        <v/>
      </c>
    </row>
    <row r="7">
      <c r="A7" s="3" t="inlineStr">
        <is>
          <t>Wild spots</t>
        </is>
      </c>
      <c r="B7" s="3" t="inlineStr">
        <is>
          <t>Chance</t>
        </is>
      </c>
      <c r="C7" s="3" t="inlineStr">
        <is>
          <t>Line win on that spin (x stake)</t>
        </is>
      </c>
      <c r="D7" s="3" t="inlineStr">
        <is>
          <t>Chance x win</t>
        </is>
      </c>
    </row>
    <row r="8">
      <c r="A8" s="19" t="n">
        <v>3</v>
      </c>
      <c r="B8" s="15" t="n">
        <v>0.6</v>
      </c>
      <c r="C8" s="31" t="n">
        <v>7.814400458335875</v>
      </c>
      <c r="D8" s="29">
        <f>B8*C8</f>
        <v/>
      </c>
    </row>
    <row r="9">
      <c r="A9" s="19" t="n">
        <v>4</v>
      </c>
      <c r="B9" s="15" t="n">
        <v>0.3</v>
      </c>
      <c r="C9" s="31" t="n">
        <v>9.801946942011513</v>
      </c>
      <c r="D9" s="29">
        <f>B9*C9</f>
        <v/>
      </c>
    </row>
    <row r="10">
      <c r="A10" s="19" t="n">
        <v>5</v>
      </c>
      <c r="B10" s="15" t="n">
        <v>0.1</v>
      </c>
      <c r="C10" s="31" t="n">
        <v>12.39579241474469</v>
      </c>
      <c r="D10" s="29">
        <f>B10*C10</f>
        <v/>
      </c>
    </row>
    <row r="11">
      <c r="A11" s="4" t="inlineStr">
        <is>
          <t>Average line win when the kingfisher visits</t>
        </is>
      </c>
      <c r="D11" s="30">
        <f>SUM(D8:D10)</f>
        <v/>
      </c>
    </row>
    <row r="13">
      <c r="A13" s="6" t="inlineStr">
        <is>
          <t>Base line RTP without the kingfisher</t>
        </is>
      </c>
      <c r="B13" s="7">
        <f>'Line Wins Base'!E41</f>
        <v/>
      </c>
    </row>
    <row r="14">
      <c r="A14" s="4" t="inlineStr">
        <is>
          <t>Base game RTP with the kingfisher</t>
        </is>
      </c>
      <c r="B14" s="26">
        <f>(1-B4)*B13+B4*D11</f>
        <v/>
      </c>
    </row>
    <row r="16">
      <c r="A16" s="2" t="inlineStr">
        <is>
          <t>Column C is exact: for every row and every set of extra spots, each payline's chance follows from each reel's own symbol chances (a chosen cell is wild, or the reel's alarm), averaged over all of them (math/par_sheet.mjs).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7"/>
  <sheetViews>
    <sheetView workbookViewId="0">
      <selection activeCell="A1" sqref="A1"/>
    </sheetView>
  </sheetViews>
  <sheetFormatPr baseColWidth="8" defaultRowHeight="15"/>
  <cols>
    <col width="34" customWidth="1" min="1" max="1"/>
    <col width="16" customWidth="1" min="2" max="2"/>
    <col width="30" customWidth="1" min="3" max="3"/>
    <col width="16" customWidth="1" min="4" max="4"/>
  </cols>
  <sheetData>
    <row r="1">
      <c r="A1" s="1" t="inlineStr">
        <is>
          <t>Baited swims (free spins collect multiplier)</t>
        </is>
      </c>
    </row>
    <row r="2">
      <c r="A2" s="2" t="inlineStr">
        <is>
          <t>Before the first free spin 3 swims are baited on 3 different reels (random row on each) and stay put for the feature. A fish landing in a swim pays its prize x the swim multiplier, then the multiplier steps up.</t>
        </is>
      </c>
    </row>
    <row r="4">
      <c r="A4" s="3" t="inlineStr">
        <is>
          <t>Catch in a swim</t>
        </is>
      </c>
      <c r="B4" s="3" t="inlineStr">
        <is>
          <t>Multiplier</t>
        </is>
      </c>
    </row>
    <row r="5">
      <c r="A5" s="6" t="inlineStr">
        <is>
          <t>1</t>
        </is>
      </c>
      <c r="B5" s="32" t="n">
        <v>2</v>
      </c>
    </row>
    <row r="6">
      <c r="A6" s="6" t="inlineStr">
        <is>
          <t>2</t>
        </is>
      </c>
      <c r="B6" s="32" t="n">
        <v>4</v>
      </c>
    </row>
    <row r="7">
      <c r="A7" s="6" t="inlineStr">
        <is>
          <t>3</t>
        </is>
      </c>
      <c r="B7" s="32" t="n">
        <v>8</v>
      </c>
    </row>
    <row r="8">
      <c r="A8" s="6" t="inlineStr">
        <is>
          <t>4</t>
        </is>
      </c>
      <c r="B8" s="32" t="n">
        <v>16</v>
      </c>
    </row>
    <row r="9">
      <c r="A9" s="6" t="inlineStr">
        <is>
          <t>5 and on</t>
        </is>
      </c>
      <c r="B9" s="32" t="n">
        <v>32</v>
      </c>
    </row>
    <row r="11">
      <c r="A11" s="2" t="inlineStr">
        <is>
          <t>Chance of n catches in one swim over a whole feature: exact, from math/par_sheet.mjs (joint chance of a fish in the swim and a retrigger on each spin, stepped through every possible feature; averaged over all 15 cells).</t>
        </is>
      </c>
    </row>
    <row r="12">
      <c r="A12" s="3" t="inlineStr">
        <is>
          <t>Catches n</t>
        </is>
      </c>
      <c r="B12" s="3" t="inlineStr">
        <is>
          <t>P(n catches)</t>
        </is>
      </c>
      <c r="C12" s="3" t="inlineStr">
        <is>
          <t>Multipliers paid for n catches</t>
        </is>
      </c>
      <c r="D12" s="3" t="inlineStr">
        <is>
          <t>P x multipliers</t>
        </is>
      </c>
    </row>
    <row r="13">
      <c r="A13" s="19" t="n">
        <v>0</v>
      </c>
      <c r="B13" s="33" t="n">
        <v>0.3637601544156269</v>
      </c>
      <c r="C13" s="19" t="n">
        <v>0</v>
      </c>
      <c r="D13" s="34">
        <f>B13*C13</f>
        <v/>
      </c>
    </row>
    <row r="14">
      <c r="A14" s="19" t="n">
        <v>1</v>
      </c>
      <c r="B14" s="33" t="n">
        <v>0.3844261440607835</v>
      </c>
      <c r="C14" s="19">
        <f>C13+INDEX($B$5:$B$9,MIN(A14,5))</f>
        <v/>
      </c>
      <c r="D14" s="34">
        <f>B14*C14</f>
        <v/>
      </c>
    </row>
    <row r="15">
      <c r="A15" s="19" t="n">
        <v>2</v>
      </c>
      <c r="B15" s="33" t="n">
        <v>0.1851278757674617</v>
      </c>
      <c r="C15" s="19">
        <f>C14+INDEX($B$5:$B$9,MIN(A15,5))</f>
        <v/>
      </c>
      <c r="D15" s="34">
        <f>B15*C15</f>
        <v/>
      </c>
    </row>
    <row r="16">
      <c r="A16" s="19" t="n">
        <v>3</v>
      </c>
      <c r="B16" s="33" t="n">
        <v>0.05404755225894368</v>
      </c>
      <c r="C16" s="19">
        <f>C15+INDEX($B$5:$B$9,MIN(A16,5))</f>
        <v/>
      </c>
      <c r="D16" s="34">
        <f>B16*C16</f>
        <v/>
      </c>
    </row>
    <row r="17">
      <c r="A17" s="19" t="n">
        <v>4</v>
      </c>
      <c r="B17" s="33" t="n">
        <v>0.01080921979623277</v>
      </c>
      <c r="C17" s="19">
        <f>C16+INDEX($B$5:$B$9,MIN(A17,5))</f>
        <v/>
      </c>
      <c r="D17" s="34">
        <f>B17*C17</f>
        <v/>
      </c>
    </row>
    <row r="18">
      <c r="A18" s="19" t="n">
        <v>5</v>
      </c>
      <c r="B18" s="33" t="n">
        <v>0.001610313370753053</v>
      </c>
      <c r="C18" s="19">
        <f>C17+INDEX($B$5:$B$9,MIN(A18,5))</f>
        <v/>
      </c>
      <c r="D18" s="34">
        <f>B18*C18</f>
        <v/>
      </c>
    </row>
    <row r="19">
      <c r="A19" s="19" t="n">
        <v>6</v>
      </c>
      <c r="B19" s="33" t="n">
        <v>0.0001949131433207399</v>
      </c>
      <c r="C19" s="19">
        <f>C18+INDEX($B$5:$B$9,MIN(A19,5))</f>
        <v/>
      </c>
      <c r="D19" s="34">
        <f>B19*C19</f>
        <v/>
      </c>
    </row>
    <row r="20">
      <c r="A20" s="19" t="n">
        <v>7</v>
      </c>
      <c r="B20" s="33" t="n">
        <v>2.125587996630631e-05</v>
      </c>
      <c r="C20" s="19">
        <f>C19+INDEX($B$5:$B$9,MIN(A20,5))</f>
        <v/>
      </c>
      <c r="D20" s="34">
        <f>B20*C20</f>
        <v/>
      </c>
    </row>
    <row r="21">
      <c r="A21" s="19" t="n">
        <v>8</v>
      </c>
      <c r="B21" s="33" t="n">
        <v>2.287645137293226e-06</v>
      </c>
      <c r="C21" s="19">
        <f>C20+INDEX($B$5:$B$9,MIN(A21,5))</f>
        <v/>
      </c>
      <c r="D21" s="34">
        <f>B21*C21</f>
        <v/>
      </c>
    </row>
    <row r="22">
      <c r="A22" s="19" t="n">
        <v>9</v>
      </c>
      <c r="B22" s="33" t="n">
        <v>2.517835619717737e-07</v>
      </c>
      <c r="C22" s="19">
        <f>C21+INDEX($B$5:$B$9,MIN(A22,5))</f>
        <v/>
      </c>
      <c r="D22" s="34">
        <f>B22*C22</f>
        <v/>
      </c>
    </row>
    <row r="23">
      <c r="A23" s="19" t="n">
        <v>10</v>
      </c>
      <c r="B23" s="33" t="n">
        <v>2.823785851026822e-08</v>
      </c>
      <c r="C23" s="19">
        <f>C22+INDEX($B$5:$B$9,MIN(A23,5))</f>
        <v/>
      </c>
      <c r="D23" s="34">
        <f>B23*C23</f>
        <v/>
      </c>
    </row>
    <row r="24">
      <c r="A24" s="19" t="n">
        <v>11</v>
      </c>
      <c r="B24" s="33" t="n">
        <v>3.217653570359108e-09</v>
      </c>
      <c r="C24" s="19">
        <f>C23+INDEX($B$5:$B$9,MIN(A24,5))</f>
        <v/>
      </c>
      <c r="D24" s="34">
        <f>B24*C24</f>
        <v/>
      </c>
    </row>
    <row r="25">
      <c r="A25" s="19" t="n">
        <v>12</v>
      </c>
      <c r="B25" s="33" t="n">
        <v>3.728874515691925e-10</v>
      </c>
      <c r="C25" s="19">
        <f>C24+INDEX($B$5:$B$9,MIN(A25,5))</f>
        <v/>
      </c>
      <c r="D25" s="34">
        <f>B25*C25</f>
        <v/>
      </c>
    </row>
    <row r="26">
      <c r="A26" s="19" t="n">
        <v>13</v>
      </c>
      <c r="B26" s="33" t="n">
        <v>4.386841230578126e-11</v>
      </c>
      <c r="C26" s="19">
        <f>C25+INDEX($B$5:$B$9,MIN(A26,5))</f>
        <v/>
      </c>
      <c r="D26" s="34">
        <f>B26*C26</f>
        <v/>
      </c>
    </row>
    <row r="27">
      <c r="A27" s="19" t="n">
        <v>14</v>
      </c>
      <c r="B27" s="33" t="n">
        <v>5.226496981111618e-12</v>
      </c>
      <c r="C27" s="19">
        <f>C26+INDEX($B$5:$B$9,MIN(A27,5))</f>
        <v/>
      </c>
      <c r="D27" s="34">
        <f>B27*C27</f>
        <v/>
      </c>
    </row>
    <row r="28">
      <c r="A28" s="19" t="n">
        <v>15</v>
      </c>
      <c r="B28" s="33" t="n">
        <v>6.296779716656629e-13</v>
      </c>
      <c r="C28" s="19">
        <f>C27+INDEX($B$5:$B$9,MIN(A28,5))</f>
        <v/>
      </c>
      <c r="D28" s="34">
        <f>B28*C28</f>
        <v/>
      </c>
    </row>
    <row r="29">
      <c r="A29" s="19" t="n">
        <v>16</v>
      </c>
      <c r="B29" s="33" t="n">
        <v>7.661575713581199e-14</v>
      </c>
      <c r="C29" s="19">
        <f>C28+INDEX($B$5:$B$9,MIN(A29,5))</f>
        <v/>
      </c>
      <c r="D29" s="34">
        <f>B29*C29</f>
        <v/>
      </c>
    </row>
    <row r="30">
      <c r="A30" s="19" t="n">
        <v>17</v>
      </c>
      <c r="B30" s="33" t="n">
        <v>9.403254323481159e-15</v>
      </c>
      <c r="C30" s="19">
        <f>C29+INDEX($B$5:$B$9,MIN(A30,5))</f>
        <v/>
      </c>
      <c r="D30" s="34">
        <f>B30*C30</f>
        <v/>
      </c>
    </row>
    <row r="31">
      <c r="A31" s="19" t="n">
        <v>18</v>
      </c>
      <c r="B31" s="33" t="n">
        <v>1.162968643633572e-15</v>
      </c>
      <c r="C31" s="19">
        <f>C30+INDEX($B$5:$B$9,MIN(A31,5))</f>
        <v/>
      </c>
      <c r="D31" s="34">
        <f>B31*C31</f>
        <v/>
      </c>
    </row>
    <row r="33">
      <c r="A33" s="6" t="inlineStr">
        <is>
          <t>Total probability (should be 1)</t>
        </is>
      </c>
      <c r="B33" s="35">
        <f>SUM(B13:B31)</f>
        <v/>
      </c>
    </row>
    <row r="34">
      <c r="A34" s="6" t="inlineStr">
        <is>
          <t>Expected catches per swim</t>
        </is>
      </c>
      <c r="B34" s="34">
        <f>SUMPRODUCT(A13:A31,B13:B31)</f>
        <v/>
      </c>
    </row>
    <row r="35">
      <c r="A35" s="4" t="inlineStr">
        <is>
          <t>Expected multipliers paid per swim</t>
        </is>
      </c>
      <c r="B35" s="36">
        <f>SUM(D13:D31)</f>
        <v/>
      </c>
    </row>
    <row r="37">
      <c r="A37" s="2" t="inlineStr">
        <is>
          <t>Cross-check: expected catches per swim must equal expected free spins x chance of a fish in one swim per spin (see Free Spins Feature).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42" customWidth="1" min="1" max="1"/>
    <col width="16" customWidth="1" min="2" max="2"/>
    <col width="84" customWidth="1" min="3" max="3"/>
  </cols>
  <sheetData>
    <row r="1">
      <c r="A1" s="1" t="inlineStr">
        <is>
          <t>Three Rods free spins</t>
        </is>
      </c>
    </row>
    <row r="2">
      <c r="A2" s="2" t="inlineStr">
        <is>
          <t>Trigger: a Bite Alarm visible on each of reels 2, 3 and 4 (any row). 10 free spins; 3 alarms in free spins add 5 more.</t>
        </is>
      </c>
    </row>
    <row r="4">
      <c r="A4" s="3" t="inlineStr">
        <is>
          <t>Item</t>
        </is>
      </c>
      <c r="B4" s="3" t="inlineStr">
        <is>
          <t>Value</t>
        </is>
      </c>
      <c r="C4" s="3" t="inlineStr">
        <is>
          <t>Notes</t>
        </is>
      </c>
    </row>
    <row r="5">
      <c r="A5" s="6" t="inlineStr">
        <is>
          <t>P(alarm visible) reel 2, base</t>
        </is>
      </c>
      <c r="B5" s="25" t="n">
        <v>0.1875</v>
      </c>
      <c r="C5" s="2" t="inlineStr">
        <is>
          <t>Share of stops whose 3-row window contains an alarm (from strips.json)</t>
        </is>
      </c>
    </row>
    <row r="6">
      <c r="A6" s="6" t="inlineStr">
        <is>
          <t>P(alarm visible) reel 3, base</t>
        </is>
      </c>
      <c r="B6" s="25" t="n">
        <v>0.1875</v>
      </c>
      <c r="C6" s="2" t="inlineStr"/>
    </row>
    <row r="7">
      <c r="A7" s="6" t="inlineStr">
        <is>
          <t>P(alarm visible) reel 4, base</t>
        </is>
      </c>
      <c r="B7" s="25" t="n">
        <v>0.1875</v>
      </c>
      <c r="C7" s="2" t="inlineStr"/>
    </row>
    <row r="8">
      <c r="A8" s="6" t="inlineStr">
        <is>
          <t>P(trigger) per base spin</t>
        </is>
      </c>
      <c r="B8" s="23">
        <f>B5*B6*B7</f>
        <v/>
      </c>
      <c r="C8" s="2" t="inlineStr">
        <is>
          <t>Reels stop independently</t>
        </is>
      </c>
    </row>
    <row r="9">
      <c r="A9" s="6" t="inlineStr">
        <is>
          <t>Trigger: 1 in</t>
        </is>
      </c>
      <c r="B9" s="37">
        <f>1/B8</f>
        <v/>
      </c>
      <c r="C9" s="2" t="inlineStr"/>
    </row>
    <row r="10">
      <c r="A10" s="6" t="inlineStr">
        <is>
          <t>P(alarm visible) reel 2, free spins</t>
        </is>
      </c>
      <c r="B10" s="25" t="n">
        <v>0.1875</v>
      </c>
      <c r="C10" s="2" t="inlineStr"/>
    </row>
    <row r="11">
      <c r="A11" s="6" t="inlineStr">
        <is>
          <t>P(alarm visible) reel 3, free spins</t>
        </is>
      </c>
      <c r="B11" s="25" t="n">
        <v>0.1875</v>
      </c>
      <c r="C11" s="2" t="inlineStr"/>
    </row>
    <row r="12">
      <c r="A12" s="6" t="inlineStr">
        <is>
          <t>P(alarm visible) reel 4, free spins</t>
        </is>
      </c>
      <c r="B12" s="25" t="n">
        <v>0.1875</v>
      </c>
      <c r="C12" s="2" t="inlineStr"/>
    </row>
    <row r="13">
      <c r="A13" s="6" t="inlineStr">
        <is>
          <t>P(retrigger) per free spin</t>
        </is>
      </c>
      <c r="B13" s="23">
        <f>B10*B11*B12</f>
        <v/>
      </c>
      <c r="C13" s="2" t="inlineStr"/>
    </row>
    <row r="14">
      <c r="A14" s="6" t="inlineStr">
        <is>
          <t>Expected free spins per feature</t>
        </is>
      </c>
      <c r="B14" s="38">
        <f>10/(1-5*B13)</f>
        <v/>
      </c>
      <c r="C14" s="2" t="inlineStr">
        <is>
          <t>Each spin adds 5 x P(retrigger) spins on average: 10 / (1 - 5q)</t>
        </is>
      </c>
    </row>
    <row r="15">
      <c r="A15" s="6" t="inlineStr">
        <is>
          <t>Expected Specimen Fish per free spin</t>
        </is>
      </c>
      <c r="B15" s="22">
        <f>3*SUM('Reel Strips'!H39:L39)</f>
        <v/>
      </c>
      <c r="C15" s="2" t="inlineStr">
        <is>
          <t>3 visible rows x P(cash) summed over reels</t>
        </is>
      </c>
    </row>
    <row r="16">
      <c r="A16" s="6" t="inlineStr">
        <is>
          <t>Expected fish in swims per free spin</t>
        </is>
      </c>
      <c r="B16" s="22">
        <f>3*AVERAGE('Reel Strips'!H39:L39)</f>
        <v/>
      </c>
      <c r="C16" s="2" t="inlineStr">
        <is>
          <t>Each swim is equally likely to be on any reel</t>
        </is>
      </c>
    </row>
    <row r="17">
      <c r="A17" s="6" t="inlineStr">
        <is>
          <t>Expected fish outside swims per free spin</t>
        </is>
      </c>
      <c r="B17" s="22">
        <f>B15-B16</f>
        <v/>
      </c>
      <c r="C17" s="2" t="inlineStr">
        <is>
          <t>Paid at x1</t>
        </is>
      </c>
    </row>
    <row r="18">
      <c r="A18" s="6" t="inlineStr">
        <is>
          <t>Mean fish value</t>
        </is>
      </c>
      <c r="B18" s="39">
        <f>'Fish Values'!$E$18</f>
        <v/>
      </c>
      <c r="C18" s="2" t="inlineStr">
        <is>
          <t>From Fish Values</t>
        </is>
      </c>
    </row>
    <row r="19">
      <c r="A19" s="6" t="inlineStr">
        <is>
          <t>Free-spin line RTP per spin</t>
        </is>
      </c>
      <c r="B19" s="39">
        <f>'Line Wins Free Spins'!E41</f>
        <v/>
      </c>
      <c r="C19" s="2" t="inlineStr">
        <is>
          <t>From Line Wins Free Spins</t>
        </is>
      </c>
    </row>
    <row r="20">
      <c r="A20" s="6" t="inlineStr">
        <is>
          <t>Expected win per free spin, outside swims</t>
        </is>
      </c>
      <c r="B20" s="29">
        <f>B19+B17*B18</f>
        <v/>
      </c>
      <c r="C20" s="2" t="inlineStr">
        <is>
          <t>Line wins + fish outside the swims</t>
        </is>
      </c>
    </row>
    <row r="21">
      <c r="A21" s="6" t="inlineStr">
        <is>
          <t>Expected multipliers paid per swim</t>
        </is>
      </c>
      <c r="B21" s="40">
        <f>'Baited Swims'!$B$35</f>
        <v/>
      </c>
      <c r="C21" s="2" t="inlineStr">
        <is>
          <t>From Baited Swims (exact)</t>
        </is>
      </c>
    </row>
    <row r="22">
      <c r="A22" s="6" t="inlineStr">
        <is>
          <t>Expected swim win per feature</t>
        </is>
      </c>
      <c r="B22" s="21">
        <f>3*B21*B18</f>
        <v/>
      </c>
      <c r="C22" s="2" t="inlineStr">
        <is>
          <t>Swims x multipliers per swim x mean fish (fish value is independent of the swim)</t>
        </is>
      </c>
    </row>
    <row r="23">
      <c r="A23" s="6" t="inlineStr">
        <is>
          <t>Expected feature win (uncapped)</t>
        </is>
      </c>
      <c r="B23" s="21">
        <f>B14*B20+B22</f>
        <v/>
      </c>
      <c r="C23" s="2" t="inlineStr">
        <is>
          <t>Ignores the 5,000x cap (see Summary for how often it is reached)</t>
        </is>
      </c>
    </row>
    <row r="24">
      <c r="A24" s="6" t="inlineStr">
        <is>
          <t>Feature RTP contribution</t>
        </is>
      </c>
      <c r="B24" s="24">
        <f>B8*B23</f>
        <v/>
      </c>
      <c r="C24" s="2" t="inlineStr">
        <is>
          <t>P(trigger) x expected feature win</t>
        </is>
      </c>
    </row>
    <row r="25">
      <c r="A25" s="6" t="inlineStr">
        <is>
          <t>Check: catches per swim (spins x chance)</t>
        </is>
      </c>
      <c r="B25" s="27">
        <f>B14*B16/3-'Baited Swims'!$B$34</f>
        <v/>
      </c>
      <c r="C25" s="2" t="inlineStr">
        <is>
          <t>Should be ~0: links the DP in Baited Swims to the strips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6" customWidth="1" min="5" max="5"/>
  </cols>
  <sheetData>
    <row r="1">
      <c r="A1" s="1" t="inlineStr">
        <is>
          <t>Win distribution (simulation of the production engine, 50,000,000 rounds, seed 2026)</t>
        </is>
      </c>
    </row>
    <row r="2">
      <c r="A2" s="2" t="inlineStr">
        <is>
          <t>Total win per game round (base spin + any free spins) as a multiple of stake. Rounds counted by math/par_sheet.mjs.</t>
        </is>
      </c>
    </row>
    <row r="3">
      <c r="A3" s="6" t="inlineStr">
        <is>
          <t>Rounds simulated</t>
        </is>
      </c>
      <c r="B3" s="18" t="n">
        <v>50000000</v>
      </c>
    </row>
    <row r="5">
      <c r="A5" s="3" t="inlineStr">
        <is>
          <t>Win band</t>
        </is>
      </c>
      <c r="B5" s="3" t="inlineStr">
        <is>
          <t>Rounds</t>
        </is>
      </c>
      <c r="C5" s="3" t="inlineStr">
        <is>
          <t>Probability</t>
        </is>
      </c>
      <c r="D5" s="3" t="inlineStr">
        <is>
          <t>1 in</t>
        </is>
      </c>
      <c r="E5" s="3" t="inlineStr">
        <is>
          <t>RTP contribution</t>
        </is>
      </c>
    </row>
    <row r="6">
      <c r="A6" s="6" t="inlineStr">
        <is>
          <t>No win</t>
        </is>
      </c>
      <c r="B6" s="18" t="n">
        <v>36970809</v>
      </c>
      <c r="C6" s="41">
        <f>B6/$B$3</f>
        <v/>
      </c>
      <c r="D6" s="19">
        <f>IF(B6=0,"-",$B$3/B6)</f>
        <v/>
      </c>
      <c r="E6" s="8" t="n">
        <v>0</v>
      </c>
    </row>
    <row r="7">
      <c r="A7" s="6" t="inlineStr">
        <is>
          <t>Below stake (0 &lt; x &lt; 1)</t>
        </is>
      </c>
      <c r="B7" s="18" t="n">
        <v>5416483</v>
      </c>
      <c r="C7" s="41">
        <f>B7/$B$3</f>
        <v/>
      </c>
      <c r="D7" s="19">
        <f>IF(B7=0,"-",$B$3/B7)</f>
        <v/>
      </c>
      <c r="E7" s="8" t="n">
        <v>0.08024618400043074</v>
      </c>
    </row>
    <row r="8">
      <c r="A8" s="6" t="inlineStr">
        <is>
          <t>1x to &lt;2x</t>
        </is>
      </c>
      <c r="B8" s="18" t="n">
        <v>3120748</v>
      </c>
      <c r="C8" s="41">
        <f>B8/$B$3</f>
        <v/>
      </c>
      <c r="D8" s="19">
        <f>IF(B8=0,"-",$B$3/B8)</f>
        <v/>
      </c>
      <c r="E8" s="8" t="n">
        <v>0.09258057600030245</v>
      </c>
    </row>
    <row r="9">
      <c r="A9" s="6" t="inlineStr">
        <is>
          <t>2x to &lt;5x</t>
        </is>
      </c>
      <c r="B9" s="18" t="n">
        <v>3230150</v>
      </c>
      <c r="C9" s="41">
        <f>B9/$B$3</f>
        <v/>
      </c>
      <c r="D9" s="19">
        <f>IF(B9=0,"-",$B$3/B9)</f>
        <v/>
      </c>
      <c r="E9" s="8" t="n">
        <v>0.2020549300017867</v>
      </c>
    </row>
    <row r="10">
      <c r="A10" s="6" t="inlineStr">
        <is>
          <t>5x to &lt;10x</t>
        </is>
      </c>
      <c r="B10" s="18" t="n">
        <v>739947</v>
      </c>
      <c r="C10" s="41">
        <f>B10/$B$3</f>
        <v/>
      </c>
      <c r="D10" s="19">
        <f>IF(B10=0,"-",$B$3/B10)</f>
        <v/>
      </c>
      <c r="E10" s="8" t="n">
        <v>0.09965247400008118</v>
      </c>
    </row>
    <row r="11">
      <c r="A11" s="6" t="inlineStr">
        <is>
          <t>10x to &lt;20x</t>
        </is>
      </c>
      <c r="B11" s="18" t="n">
        <v>157250</v>
      </c>
      <c r="C11" s="41">
        <f>B11/$B$3</f>
        <v/>
      </c>
      <c r="D11" s="19">
        <f>IF(B11=0,"-",$B$3/B11)</f>
        <v/>
      </c>
      <c r="E11" s="8" t="n">
        <v>0.0418080719999905</v>
      </c>
    </row>
    <row r="12">
      <c r="A12" s="6" t="inlineStr">
        <is>
          <t>20x to &lt;50x</t>
        </is>
      </c>
      <c r="B12" s="18" t="n">
        <v>213927</v>
      </c>
      <c r="C12" s="41">
        <f>B12/$B$3</f>
        <v/>
      </c>
      <c r="D12" s="19">
        <f>IF(B12=0,"-",$B$3/B12)</f>
        <v/>
      </c>
      <c r="E12" s="8" t="n">
        <v>0.1423713780000114</v>
      </c>
    </row>
    <row r="13">
      <c r="A13" s="6" t="inlineStr">
        <is>
          <t>50x to &lt;100x</t>
        </is>
      </c>
      <c r="B13" s="18" t="n">
        <v>110865</v>
      </c>
      <c r="C13" s="41">
        <f>B13/$B$3</f>
        <v/>
      </c>
      <c r="D13" s="19">
        <f>IF(B13=0,"-",$B$3/B13)</f>
        <v/>
      </c>
      <c r="E13" s="8" t="n">
        <v>0.1519728159999991</v>
      </c>
    </row>
    <row r="14">
      <c r="A14" s="6" t="inlineStr">
        <is>
          <t>100x to &lt;250x</t>
        </is>
      </c>
      <c r="B14" s="18" t="n">
        <v>33900</v>
      </c>
      <c r="C14" s="41">
        <f>B14/$B$3</f>
        <v/>
      </c>
      <c r="D14" s="19">
        <f>IF(B14=0,"-",$B$3/B14)</f>
        <v/>
      </c>
      <c r="E14" s="8" t="n">
        <v>0.09524059200000132</v>
      </c>
    </row>
    <row r="15">
      <c r="A15" s="6" t="inlineStr">
        <is>
          <t>250x to &lt;500x</t>
        </is>
      </c>
      <c r="B15" s="18" t="n">
        <v>4592</v>
      </c>
      <c r="C15" s="41">
        <f>B15/$B$3</f>
        <v/>
      </c>
      <c r="D15" s="19">
        <f>IF(B15=0,"-",$B$3/B15)</f>
        <v/>
      </c>
      <c r="E15" s="8" t="n">
        <v>0.02984283599999999</v>
      </c>
    </row>
    <row r="16">
      <c r="A16" s="6" t="inlineStr">
        <is>
          <t>500x to &lt;1,000x</t>
        </is>
      </c>
      <c r="B16" s="18" t="n">
        <v>664</v>
      </c>
      <c r="C16" s="41">
        <f>B16/$B$3</f>
        <v/>
      </c>
      <c r="D16" s="19">
        <f>IF(B16=0,"-",$B$3/B16)</f>
        <v/>
      </c>
      <c r="E16" s="8" t="n">
        <v>0.008557239999999997</v>
      </c>
    </row>
    <row r="17">
      <c r="A17" s="6" t="inlineStr">
        <is>
          <t>1,000x to &lt;5,000x</t>
        </is>
      </c>
      <c r="B17" s="18" t="n">
        <v>659</v>
      </c>
      <c r="C17" s="41">
        <f>B17/$B$3</f>
        <v/>
      </c>
      <c r="D17" s="19">
        <f>IF(B17=0,"-",$B$3/B17)</f>
        <v/>
      </c>
      <c r="E17" s="8" t="n">
        <v>0.01811061200000001</v>
      </c>
    </row>
    <row r="18">
      <c r="A18" s="6" t="inlineStr">
        <is>
          <t>5,000x (cap)</t>
        </is>
      </c>
      <c r="B18" s="18" t="n">
        <v>6</v>
      </c>
      <c r="C18" s="41">
        <f>B18/$B$3</f>
        <v/>
      </c>
      <c r="D18" s="19">
        <f>IF(B18=0,"-",$B$3/B18)</f>
        <v/>
      </c>
      <c r="E18" s="8" t="n">
        <v>0.0005999999999999999</v>
      </c>
    </row>
    <row r="19">
      <c r="A19" s="4" t="inlineStr">
        <is>
          <t>Total</t>
        </is>
      </c>
      <c r="B19" s="42">
        <f>SUM(B6:B18)</f>
        <v/>
      </c>
      <c r="C19" s="26">
        <f>SUM(C6:C18)</f>
        <v/>
      </c>
      <c r="E19" s="26">
        <f>SUM(E6:E18)</f>
        <v/>
      </c>
    </row>
    <row r="21">
      <c r="A21" s="2" t="inlineStr">
        <is>
          <t>RTP contribution per band is the simulated sum of wins in that band divided by rounds (input from the simulation).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5"/>
  <sheetViews>
    <sheetView workbookViewId="0">
      <selection activeCell="A1" sqref="A1"/>
    </sheetView>
  </sheetViews>
  <sheetFormatPr baseColWidth="8" defaultRowHeight="15"/>
  <cols>
    <col width="6" customWidth="1" min="1" max="1"/>
    <col width="11" customWidth="1" min="2" max="2"/>
    <col width="11" customWidth="1" min="3" max="3"/>
    <col width="11" customWidth="1" min="4" max="4"/>
    <col width="11" customWidth="1" min="5" max="5"/>
    <col width="11" customWidth="1" min="6" max="6"/>
    <col width="3" customWidth="1" min="7" max="7"/>
    <col width="11" customWidth="1" min="8" max="8"/>
    <col width="11" customWidth="1" min="9" max="9"/>
    <col width="11" customWidth="1" min="10" max="10"/>
    <col width="11" customWidth="1" min="11" max="11"/>
    <col width="11" customWidth="1" min="12" max="12"/>
  </cols>
  <sheetData>
    <row r="1">
      <c r="A1" s="1" t="inlineStr">
        <is>
          <t>Full reel strips (stop order)</t>
        </is>
      </c>
    </row>
    <row r="3">
      <c r="A3" s="3" t="inlineStr">
        <is>
          <t>Stop</t>
        </is>
      </c>
      <c r="B3" s="3" t="inlineStr">
        <is>
          <t>Base R1</t>
        </is>
      </c>
      <c r="C3" s="3" t="inlineStr">
        <is>
          <t>Base R2</t>
        </is>
      </c>
      <c r="D3" s="3" t="inlineStr">
        <is>
          <t>Base R3</t>
        </is>
      </c>
      <c r="E3" s="3" t="inlineStr">
        <is>
          <t>Base R4</t>
        </is>
      </c>
      <c r="F3" s="3" t="inlineStr">
        <is>
          <t>Base R5</t>
        </is>
      </c>
      <c r="G3" s="3" t="inlineStr"/>
      <c r="H3" s="3" t="inlineStr">
        <is>
          <t>FS R1</t>
        </is>
      </c>
      <c r="I3" s="3" t="inlineStr">
        <is>
          <t>FS R2</t>
        </is>
      </c>
      <c r="J3" s="3" t="inlineStr">
        <is>
          <t>FS R3</t>
        </is>
      </c>
      <c r="K3" s="3" t="inlineStr">
        <is>
          <t>FS R4</t>
        </is>
      </c>
      <c r="L3" s="3" t="inlineStr">
        <is>
          <t>FS R5</t>
        </is>
      </c>
    </row>
    <row r="4">
      <c r="A4" s="19" t="n">
        <v>0</v>
      </c>
      <c r="B4" s="20" t="inlineStr">
        <is>
          <t>BOILIE</t>
        </is>
      </c>
      <c r="C4" s="20" t="inlineStr">
        <is>
          <t>FLOAT</t>
        </is>
      </c>
      <c r="D4" s="20" t="inlineStr">
        <is>
          <t>BIVVY</t>
        </is>
      </c>
      <c r="E4" s="20" t="inlineStr">
        <is>
          <t>CATAPULT</t>
        </is>
      </c>
      <c r="F4" s="20" t="inlineStr">
        <is>
          <t>WILD</t>
        </is>
      </c>
      <c r="H4" s="20" t="inlineStr">
        <is>
          <t>FLOAT</t>
        </is>
      </c>
      <c r="I4" s="20" t="inlineStr">
        <is>
          <t>FLOAT</t>
        </is>
      </c>
      <c r="J4" s="20" t="inlineStr">
        <is>
          <t>MEAT</t>
        </is>
      </c>
      <c r="K4" s="20" t="inlineStr">
        <is>
          <t>ALARM</t>
        </is>
      </c>
      <c r="L4" s="20" t="inlineStr">
        <is>
          <t>WILD</t>
        </is>
      </c>
    </row>
    <row r="5">
      <c r="A5" s="19" t="n">
        <v>1</v>
      </c>
      <c r="B5" s="20" t="inlineStr">
        <is>
          <t>CORN</t>
        </is>
      </c>
      <c r="C5" s="20" t="inlineStr">
        <is>
          <t>BIVVY</t>
        </is>
      </c>
      <c r="D5" s="20" t="inlineStr">
        <is>
          <t>ROACH</t>
        </is>
      </c>
      <c r="E5" s="20" t="inlineStr">
        <is>
          <t>CORN</t>
        </is>
      </c>
      <c r="F5" s="20" t="inlineStr">
        <is>
          <t>FLOAT</t>
        </is>
      </c>
      <c r="H5" s="20" t="inlineStr">
        <is>
          <t>BOILIE</t>
        </is>
      </c>
      <c r="I5" s="20" t="inlineStr">
        <is>
          <t>CASH</t>
        </is>
      </c>
      <c r="J5" s="20" t="inlineStr">
        <is>
          <t>FLASK</t>
        </is>
      </c>
      <c r="K5" s="20" t="inlineStr">
        <is>
          <t>ROACH</t>
        </is>
      </c>
      <c r="L5" s="20" t="inlineStr">
        <is>
          <t>FLASK</t>
        </is>
      </c>
    </row>
    <row r="6">
      <c r="A6" s="19" t="n">
        <v>2</v>
      </c>
      <c r="B6" s="20" t="inlineStr">
        <is>
          <t>MIRROR</t>
        </is>
      </c>
      <c r="C6" s="20" t="inlineStr">
        <is>
          <t>CORN</t>
        </is>
      </c>
      <c r="D6" s="20" t="inlineStr">
        <is>
          <t>CATAPULT</t>
        </is>
      </c>
      <c r="E6" s="20" t="inlineStr">
        <is>
          <t>ROACH</t>
        </is>
      </c>
      <c r="F6" s="20" t="inlineStr">
        <is>
          <t>BOILIE</t>
        </is>
      </c>
      <c r="H6" s="20" t="inlineStr">
        <is>
          <t>CATAPULT</t>
        </is>
      </c>
      <c r="I6" s="20" t="inlineStr">
        <is>
          <t>NET</t>
        </is>
      </c>
      <c r="J6" s="20" t="inlineStr">
        <is>
          <t>NET</t>
        </is>
      </c>
      <c r="K6" s="20" t="inlineStr">
        <is>
          <t>WILD</t>
        </is>
      </c>
      <c r="L6" s="20" t="inlineStr">
        <is>
          <t>MEAT</t>
        </is>
      </c>
    </row>
    <row r="7">
      <c r="A7" s="19" t="n">
        <v>3</v>
      </c>
      <c r="B7" s="20" t="inlineStr">
        <is>
          <t>FLASK</t>
        </is>
      </c>
      <c r="C7" s="20" t="inlineStr">
        <is>
          <t>NET</t>
        </is>
      </c>
      <c r="D7" s="20" t="inlineStr">
        <is>
          <t>FLASK</t>
        </is>
      </c>
      <c r="E7" s="20" t="inlineStr">
        <is>
          <t>ALARM</t>
        </is>
      </c>
      <c r="F7" s="20" t="inlineStr">
        <is>
          <t>CATAPULT</t>
        </is>
      </c>
      <c r="H7" s="20" t="inlineStr">
        <is>
          <t>MIRROR</t>
        </is>
      </c>
      <c r="I7" s="20" t="inlineStr">
        <is>
          <t>CATAPULT</t>
        </is>
      </c>
      <c r="J7" s="20" t="inlineStr">
        <is>
          <t>BIVVY</t>
        </is>
      </c>
      <c r="K7" s="20" t="inlineStr">
        <is>
          <t>BOILIE</t>
        </is>
      </c>
      <c r="L7" s="20" t="inlineStr">
        <is>
          <t>FLOAT</t>
        </is>
      </c>
    </row>
    <row r="8">
      <c r="A8" s="19" t="n">
        <v>4</v>
      </c>
      <c r="B8" s="20" t="inlineStr">
        <is>
          <t>BOILIE</t>
        </is>
      </c>
      <c r="C8" s="20" t="inlineStr">
        <is>
          <t>FLASK</t>
        </is>
      </c>
      <c r="D8" s="20" t="inlineStr">
        <is>
          <t>WILD</t>
        </is>
      </c>
      <c r="E8" s="20" t="inlineStr">
        <is>
          <t>WILD</t>
        </is>
      </c>
      <c r="F8" s="20" t="inlineStr">
        <is>
          <t>BIVVY</t>
        </is>
      </c>
      <c r="H8" s="20" t="inlineStr">
        <is>
          <t>MEAT</t>
        </is>
      </c>
      <c r="I8" s="20" t="inlineStr">
        <is>
          <t>NET</t>
        </is>
      </c>
      <c r="J8" s="20" t="inlineStr">
        <is>
          <t>FLASK</t>
        </is>
      </c>
      <c r="K8" s="20" t="inlineStr">
        <is>
          <t>CATAPULT</t>
        </is>
      </c>
      <c r="L8" s="20" t="inlineStr">
        <is>
          <t>TENCH</t>
        </is>
      </c>
    </row>
    <row r="9">
      <c r="A9" s="19" t="n">
        <v>5</v>
      </c>
      <c r="B9" s="20" t="inlineStr">
        <is>
          <t>FLOAT</t>
        </is>
      </c>
      <c r="C9" s="20" t="inlineStr">
        <is>
          <t>WILD</t>
        </is>
      </c>
      <c r="D9" s="20" t="inlineStr">
        <is>
          <t>FLASK</t>
        </is>
      </c>
      <c r="E9" s="20" t="inlineStr">
        <is>
          <t>MEAT</t>
        </is>
      </c>
      <c r="F9" s="20" t="inlineStr">
        <is>
          <t>MEAT</t>
        </is>
      </c>
      <c r="H9" s="20" t="inlineStr">
        <is>
          <t>FLASK</t>
        </is>
      </c>
      <c r="I9" s="20" t="inlineStr">
        <is>
          <t>WILD</t>
        </is>
      </c>
      <c r="J9" s="20" t="inlineStr">
        <is>
          <t>NET</t>
        </is>
      </c>
      <c r="K9" s="20" t="inlineStr">
        <is>
          <t>MIRROR</t>
        </is>
      </c>
      <c r="L9" s="20" t="inlineStr">
        <is>
          <t>CASH</t>
        </is>
      </c>
    </row>
    <row r="10">
      <c r="A10" s="19" t="n">
        <v>6</v>
      </c>
      <c r="B10" s="20" t="inlineStr">
        <is>
          <t>FLASK</t>
        </is>
      </c>
      <c r="C10" s="20" t="inlineStr">
        <is>
          <t>MEAT</t>
        </is>
      </c>
      <c r="D10" s="20" t="inlineStr">
        <is>
          <t>FLASK</t>
        </is>
      </c>
      <c r="E10" s="20" t="inlineStr">
        <is>
          <t>BOILIE</t>
        </is>
      </c>
      <c r="F10" s="20" t="inlineStr">
        <is>
          <t>WILD</t>
        </is>
      </c>
      <c r="H10" s="20" t="inlineStr">
        <is>
          <t>MEAT</t>
        </is>
      </c>
      <c r="I10" s="20" t="inlineStr">
        <is>
          <t>MIRROR</t>
        </is>
      </c>
      <c r="J10" s="20" t="inlineStr">
        <is>
          <t>CATAPULT</t>
        </is>
      </c>
      <c r="K10" s="20" t="inlineStr">
        <is>
          <t>WILD</t>
        </is>
      </c>
      <c r="L10" s="20" t="inlineStr">
        <is>
          <t>WILD</t>
        </is>
      </c>
    </row>
    <row r="11">
      <c r="A11" s="19" t="n">
        <v>7</v>
      </c>
      <c r="B11" s="20" t="inlineStr">
        <is>
          <t>FLOAT</t>
        </is>
      </c>
      <c r="C11" s="20" t="inlineStr">
        <is>
          <t>ROACH</t>
        </is>
      </c>
      <c r="D11" s="20" t="inlineStr">
        <is>
          <t>NET</t>
        </is>
      </c>
      <c r="E11" s="20" t="inlineStr">
        <is>
          <t>WILD</t>
        </is>
      </c>
      <c r="F11" s="20" t="inlineStr">
        <is>
          <t>NET</t>
        </is>
      </c>
      <c r="H11" s="20" t="inlineStr">
        <is>
          <t>CASH</t>
        </is>
      </c>
      <c r="I11" s="20" t="inlineStr">
        <is>
          <t>FLASK</t>
        </is>
      </c>
      <c r="J11" s="20" t="inlineStr">
        <is>
          <t>BREAM</t>
        </is>
      </c>
      <c r="K11" s="20" t="inlineStr">
        <is>
          <t>ALARM</t>
        </is>
      </c>
      <c r="L11" s="20" t="inlineStr">
        <is>
          <t>BOILIE</t>
        </is>
      </c>
    </row>
    <row r="12">
      <c r="A12" s="19" t="n">
        <v>8</v>
      </c>
      <c r="B12" s="20" t="inlineStr">
        <is>
          <t>MEAT</t>
        </is>
      </c>
      <c r="C12" s="20" t="inlineStr">
        <is>
          <t>MEAT</t>
        </is>
      </c>
      <c r="D12" s="20" t="inlineStr">
        <is>
          <t>ALARM</t>
        </is>
      </c>
      <c r="E12" s="20" t="inlineStr">
        <is>
          <t>FLOAT</t>
        </is>
      </c>
      <c r="F12" s="20" t="inlineStr">
        <is>
          <t>MEAT</t>
        </is>
      </c>
      <c r="H12" s="20" t="inlineStr">
        <is>
          <t>NET</t>
        </is>
      </c>
      <c r="I12" s="20" t="inlineStr">
        <is>
          <t>TENCH</t>
        </is>
      </c>
      <c r="J12" s="20" t="inlineStr">
        <is>
          <t>ALARM</t>
        </is>
      </c>
      <c r="K12" s="20" t="inlineStr">
        <is>
          <t>BREAM</t>
        </is>
      </c>
      <c r="L12" s="20" t="inlineStr">
        <is>
          <t>FLOAT</t>
        </is>
      </c>
    </row>
    <row r="13">
      <c r="A13" s="19" t="n">
        <v>9</v>
      </c>
      <c r="B13" s="20" t="inlineStr">
        <is>
          <t>BOILIE</t>
        </is>
      </c>
      <c r="C13" s="20" t="inlineStr">
        <is>
          <t>BIVVY</t>
        </is>
      </c>
      <c r="D13" s="20" t="inlineStr">
        <is>
          <t>BOILIE</t>
        </is>
      </c>
      <c r="E13" s="20" t="inlineStr">
        <is>
          <t>TENCH</t>
        </is>
      </c>
      <c r="F13" s="20" t="inlineStr">
        <is>
          <t>CATAPULT</t>
        </is>
      </c>
      <c r="H13" s="20" t="inlineStr">
        <is>
          <t>FLOAT</t>
        </is>
      </c>
      <c r="I13" s="20" t="inlineStr">
        <is>
          <t>ALARM</t>
        </is>
      </c>
      <c r="J13" s="20" t="inlineStr">
        <is>
          <t>FLOAT</t>
        </is>
      </c>
      <c r="K13" s="20" t="inlineStr">
        <is>
          <t>MEAT</t>
        </is>
      </c>
      <c r="L13" s="20" t="inlineStr">
        <is>
          <t>CASH</t>
        </is>
      </c>
    </row>
    <row r="14">
      <c r="A14" s="19" t="n">
        <v>10</v>
      </c>
      <c r="B14" s="20" t="inlineStr">
        <is>
          <t>CORN</t>
        </is>
      </c>
      <c r="C14" s="20" t="inlineStr">
        <is>
          <t>ALARM</t>
        </is>
      </c>
      <c r="D14" s="20" t="inlineStr">
        <is>
          <t>CORN</t>
        </is>
      </c>
      <c r="E14" s="20" t="inlineStr">
        <is>
          <t>BREAM</t>
        </is>
      </c>
      <c r="F14" s="20" t="inlineStr">
        <is>
          <t>MEAT</t>
        </is>
      </c>
      <c r="H14" s="20" t="inlineStr">
        <is>
          <t>TENCH</t>
        </is>
      </c>
      <c r="I14" s="20" t="inlineStr">
        <is>
          <t>MEAT</t>
        </is>
      </c>
      <c r="J14" s="20" t="inlineStr">
        <is>
          <t>BOILIE</t>
        </is>
      </c>
      <c r="K14" s="20" t="inlineStr">
        <is>
          <t>FLOAT</t>
        </is>
      </c>
      <c r="L14" s="20" t="inlineStr">
        <is>
          <t>FLASK</t>
        </is>
      </c>
    </row>
    <row r="15">
      <c r="A15" s="19" t="n">
        <v>11</v>
      </c>
      <c r="B15" s="20" t="inlineStr">
        <is>
          <t>BREAM</t>
        </is>
      </c>
      <c r="C15" s="20" t="inlineStr">
        <is>
          <t>NET</t>
        </is>
      </c>
      <c r="D15" s="20" t="inlineStr">
        <is>
          <t>MEAT</t>
        </is>
      </c>
      <c r="E15" s="20" t="inlineStr">
        <is>
          <t>NET</t>
        </is>
      </c>
      <c r="F15" s="20" t="inlineStr">
        <is>
          <t>BOILIE</t>
        </is>
      </c>
      <c r="H15" s="20" t="inlineStr">
        <is>
          <t>NET</t>
        </is>
      </c>
      <c r="I15" s="20" t="inlineStr">
        <is>
          <t>WILD</t>
        </is>
      </c>
      <c r="J15" s="20" t="inlineStr">
        <is>
          <t>FLASK</t>
        </is>
      </c>
      <c r="K15" s="20" t="inlineStr">
        <is>
          <t>CORN</t>
        </is>
      </c>
      <c r="L15" s="20" t="inlineStr">
        <is>
          <t>CORN</t>
        </is>
      </c>
    </row>
    <row r="16">
      <c r="A16" s="19" t="n">
        <v>12</v>
      </c>
      <c r="B16" s="20" t="inlineStr">
        <is>
          <t>FLOAT</t>
        </is>
      </c>
      <c r="C16" s="20" t="inlineStr">
        <is>
          <t>WILD</t>
        </is>
      </c>
      <c r="D16" s="20" t="inlineStr">
        <is>
          <t>CORN</t>
        </is>
      </c>
      <c r="E16" s="20" t="inlineStr">
        <is>
          <t>MEAT</t>
        </is>
      </c>
      <c r="F16" s="20" t="inlineStr">
        <is>
          <t>ROACH</t>
        </is>
      </c>
      <c r="H16" s="20" t="inlineStr">
        <is>
          <t>FLASK</t>
        </is>
      </c>
      <c r="I16" s="20" t="inlineStr">
        <is>
          <t>BOILIE</t>
        </is>
      </c>
      <c r="J16" s="20" t="inlineStr">
        <is>
          <t>ALARM</t>
        </is>
      </c>
      <c r="K16" s="20" t="inlineStr">
        <is>
          <t>BOILIE</t>
        </is>
      </c>
      <c r="L16" s="20" t="inlineStr">
        <is>
          <t>BOILIE</t>
        </is>
      </c>
    </row>
    <row r="17">
      <c r="A17" s="19" t="n">
        <v>13</v>
      </c>
      <c r="B17" s="20" t="inlineStr">
        <is>
          <t>BOILIE</t>
        </is>
      </c>
      <c r="C17" s="20" t="inlineStr">
        <is>
          <t>BOILIE</t>
        </is>
      </c>
      <c r="D17" s="20" t="inlineStr">
        <is>
          <t>FLOAT</t>
        </is>
      </c>
      <c r="E17" s="20" t="inlineStr">
        <is>
          <t>FLASK</t>
        </is>
      </c>
      <c r="F17" s="20" t="inlineStr">
        <is>
          <t>CORN</t>
        </is>
      </c>
      <c r="H17" s="20" t="inlineStr">
        <is>
          <t>CATAPULT</t>
        </is>
      </c>
      <c r="I17" s="20" t="inlineStr">
        <is>
          <t>FLOAT</t>
        </is>
      </c>
      <c r="J17" s="20" t="inlineStr">
        <is>
          <t>CASH</t>
        </is>
      </c>
      <c r="K17" s="20" t="inlineStr">
        <is>
          <t>TENCH</t>
        </is>
      </c>
      <c r="L17" s="20" t="inlineStr">
        <is>
          <t>MEAT</t>
        </is>
      </c>
    </row>
    <row r="18">
      <c r="A18" s="19" t="n">
        <v>14</v>
      </c>
      <c r="B18" s="20" t="inlineStr">
        <is>
          <t>CATAPULT</t>
        </is>
      </c>
      <c r="C18" s="20" t="inlineStr">
        <is>
          <t>MEAT</t>
        </is>
      </c>
      <c r="D18" s="20" t="inlineStr">
        <is>
          <t>NET</t>
        </is>
      </c>
      <c r="E18" s="20" t="inlineStr">
        <is>
          <t>CATAPULT</t>
        </is>
      </c>
      <c r="F18" s="20" t="inlineStr">
        <is>
          <t>FLOAT</t>
        </is>
      </c>
      <c r="H18" s="20" t="inlineStr">
        <is>
          <t>CATAPULT</t>
        </is>
      </c>
      <c r="I18" s="20" t="inlineStr">
        <is>
          <t>BIVVY</t>
        </is>
      </c>
      <c r="J18" s="20" t="inlineStr">
        <is>
          <t>MEAT</t>
        </is>
      </c>
      <c r="K18" s="20" t="inlineStr">
        <is>
          <t>WILD</t>
        </is>
      </c>
      <c r="L18" s="20" t="inlineStr">
        <is>
          <t>BIVVY</t>
        </is>
      </c>
    </row>
    <row r="19">
      <c r="A19" s="19" t="n">
        <v>15</v>
      </c>
      <c r="B19" s="20" t="inlineStr">
        <is>
          <t>FLASK</t>
        </is>
      </c>
      <c r="C19" s="20" t="inlineStr">
        <is>
          <t>MIRROR</t>
        </is>
      </c>
      <c r="D19" s="20" t="inlineStr">
        <is>
          <t>FLOAT</t>
        </is>
      </c>
      <c r="E19" s="20" t="inlineStr">
        <is>
          <t>MEAT</t>
        </is>
      </c>
      <c r="F19" s="20" t="inlineStr">
        <is>
          <t>NET</t>
        </is>
      </c>
      <c r="H19" s="20" t="inlineStr">
        <is>
          <t>FLOAT</t>
        </is>
      </c>
      <c r="I19" s="20" t="inlineStr">
        <is>
          <t>WILD</t>
        </is>
      </c>
      <c r="J19" s="20" t="inlineStr">
        <is>
          <t>MEAT</t>
        </is>
      </c>
      <c r="K19" s="20" t="inlineStr">
        <is>
          <t>FLASK</t>
        </is>
      </c>
      <c r="L19" s="20" t="inlineStr">
        <is>
          <t>BREAM</t>
        </is>
      </c>
    </row>
    <row r="20">
      <c r="A20" s="19" t="n">
        <v>16</v>
      </c>
      <c r="B20" s="20" t="inlineStr">
        <is>
          <t>NET</t>
        </is>
      </c>
      <c r="C20" s="20" t="inlineStr">
        <is>
          <t>BREAM</t>
        </is>
      </c>
      <c r="D20" s="20" t="inlineStr">
        <is>
          <t>ALARM</t>
        </is>
      </c>
      <c r="E20" s="20" t="inlineStr">
        <is>
          <t>BIVVY</t>
        </is>
      </c>
      <c r="F20" s="20" t="inlineStr">
        <is>
          <t>CORN</t>
        </is>
      </c>
      <c r="H20" s="20" t="inlineStr">
        <is>
          <t>ROACH</t>
        </is>
      </c>
      <c r="I20" s="20" t="inlineStr">
        <is>
          <t>FLASK</t>
        </is>
      </c>
      <c r="J20" s="20" t="inlineStr">
        <is>
          <t>WILD</t>
        </is>
      </c>
      <c r="K20" s="20" t="inlineStr">
        <is>
          <t>CASH</t>
        </is>
      </c>
      <c r="L20" s="20" t="inlineStr">
        <is>
          <t>FLASK</t>
        </is>
      </c>
    </row>
    <row r="21">
      <c r="A21" s="19" t="n">
        <v>17</v>
      </c>
      <c r="B21" s="20" t="inlineStr">
        <is>
          <t>CORN</t>
        </is>
      </c>
      <c r="C21" s="20" t="inlineStr">
        <is>
          <t>BOILIE</t>
        </is>
      </c>
      <c r="D21" s="20" t="inlineStr">
        <is>
          <t>TENCH</t>
        </is>
      </c>
      <c r="E21" s="20" t="inlineStr">
        <is>
          <t>WILD</t>
        </is>
      </c>
      <c r="F21" s="20" t="inlineStr">
        <is>
          <t>FLASK</t>
        </is>
      </c>
      <c r="H21" s="20" t="inlineStr">
        <is>
          <t>BOILIE</t>
        </is>
      </c>
      <c r="I21" s="20" t="inlineStr">
        <is>
          <t>CORN</t>
        </is>
      </c>
      <c r="J21" s="20" t="inlineStr">
        <is>
          <t>CASH</t>
        </is>
      </c>
      <c r="K21" s="20" t="inlineStr">
        <is>
          <t>BIVVY</t>
        </is>
      </c>
      <c r="L21" s="20" t="inlineStr">
        <is>
          <t>CATAPULT</t>
        </is>
      </c>
    </row>
    <row r="22">
      <c r="A22" s="19" t="n">
        <v>18</v>
      </c>
      <c r="B22" s="20" t="inlineStr">
        <is>
          <t>CATAPULT</t>
        </is>
      </c>
      <c r="C22" s="20" t="inlineStr">
        <is>
          <t>FLOAT</t>
        </is>
      </c>
      <c r="D22" s="20" t="inlineStr">
        <is>
          <t>CORN</t>
        </is>
      </c>
      <c r="E22" s="20" t="inlineStr">
        <is>
          <t>BOILIE</t>
        </is>
      </c>
      <c r="F22" s="20" t="inlineStr">
        <is>
          <t>FLASK</t>
        </is>
      </c>
      <c r="H22" s="20" t="inlineStr">
        <is>
          <t>BOILIE</t>
        </is>
      </c>
      <c r="I22" s="20" t="inlineStr">
        <is>
          <t>CORN</t>
        </is>
      </c>
      <c r="J22" s="20" t="inlineStr">
        <is>
          <t>CORN</t>
        </is>
      </c>
      <c r="K22" s="20" t="inlineStr">
        <is>
          <t>CORN</t>
        </is>
      </c>
      <c r="L22" s="20" t="inlineStr">
        <is>
          <t>CATAPULT</t>
        </is>
      </c>
    </row>
    <row r="23">
      <c r="A23" s="19" t="n">
        <v>19</v>
      </c>
      <c r="B23" s="20" t="inlineStr">
        <is>
          <t>BOILIE</t>
        </is>
      </c>
      <c r="C23" s="20" t="inlineStr">
        <is>
          <t>FLASK</t>
        </is>
      </c>
      <c r="D23" s="20" t="inlineStr">
        <is>
          <t>FLOAT</t>
        </is>
      </c>
      <c r="E23" s="20" t="inlineStr">
        <is>
          <t>FLOAT</t>
        </is>
      </c>
      <c r="F23" s="20" t="inlineStr">
        <is>
          <t>CORN</t>
        </is>
      </c>
      <c r="H23" s="20" t="inlineStr">
        <is>
          <t>BIVVY</t>
        </is>
      </c>
      <c r="I23" s="20" t="inlineStr">
        <is>
          <t>CATAPULT</t>
        </is>
      </c>
      <c r="J23" s="20" t="inlineStr">
        <is>
          <t>BIVVY</t>
        </is>
      </c>
      <c r="K23" s="20" t="inlineStr">
        <is>
          <t>FLOAT</t>
        </is>
      </c>
      <c r="L23" s="20" t="inlineStr">
        <is>
          <t>ROACH</t>
        </is>
      </c>
    </row>
    <row r="24">
      <c r="A24" s="19" t="n">
        <v>20</v>
      </c>
      <c r="B24" s="20" t="inlineStr">
        <is>
          <t>ROACH</t>
        </is>
      </c>
      <c r="C24" s="20" t="inlineStr">
        <is>
          <t>FLOAT</t>
        </is>
      </c>
      <c r="D24" s="20" t="inlineStr">
        <is>
          <t>BREAM</t>
        </is>
      </c>
      <c r="E24" s="20" t="inlineStr">
        <is>
          <t>CORN</t>
        </is>
      </c>
      <c r="F24" s="20" t="inlineStr">
        <is>
          <t>BOILIE</t>
        </is>
      </c>
      <c r="H24" s="20" t="inlineStr">
        <is>
          <t>CORN</t>
        </is>
      </c>
      <c r="I24" s="20" t="inlineStr">
        <is>
          <t>BOILIE</t>
        </is>
      </c>
      <c r="J24" s="20" t="inlineStr">
        <is>
          <t>TENCH</t>
        </is>
      </c>
      <c r="K24" s="20" t="inlineStr">
        <is>
          <t>NET</t>
        </is>
      </c>
      <c r="L24" s="20" t="inlineStr">
        <is>
          <t>CORN</t>
        </is>
      </c>
    </row>
    <row r="25">
      <c r="A25" s="19" t="n">
        <v>21</v>
      </c>
      <c r="B25" s="20" t="inlineStr">
        <is>
          <t>TENCH</t>
        </is>
      </c>
      <c r="C25" s="20" t="inlineStr">
        <is>
          <t>CORN</t>
        </is>
      </c>
      <c r="D25" s="20" t="inlineStr">
        <is>
          <t>WILD</t>
        </is>
      </c>
      <c r="E25" s="20" t="inlineStr">
        <is>
          <t>BIVVY</t>
        </is>
      </c>
      <c r="F25" s="20" t="inlineStr">
        <is>
          <t>FLOAT</t>
        </is>
      </c>
      <c r="H25" s="20" t="inlineStr">
        <is>
          <t>FLOAT</t>
        </is>
      </c>
      <c r="I25" s="20" t="inlineStr">
        <is>
          <t>CASH</t>
        </is>
      </c>
      <c r="J25" s="20" t="inlineStr">
        <is>
          <t>CATAPULT</t>
        </is>
      </c>
      <c r="K25" s="20" t="inlineStr">
        <is>
          <t>CASH</t>
        </is>
      </c>
      <c r="L25" s="20" t="inlineStr">
        <is>
          <t>MEAT</t>
        </is>
      </c>
    </row>
    <row r="26">
      <c r="A26" s="19" t="n">
        <v>22</v>
      </c>
      <c r="B26" s="20" t="inlineStr">
        <is>
          <t>FLOAT</t>
        </is>
      </c>
      <c r="C26" s="20" t="inlineStr">
        <is>
          <t>CORN</t>
        </is>
      </c>
      <c r="D26" s="20" t="inlineStr">
        <is>
          <t>BOILIE</t>
        </is>
      </c>
      <c r="E26" s="20" t="inlineStr">
        <is>
          <t>BOILIE</t>
        </is>
      </c>
      <c r="F26" s="20" t="inlineStr">
        <is>
          <t>BIVVY</t>
        </is>
      </c>
      <c r="H26" s="20" t="inlineStr">
        <is>
          <t>CASH</t>
        </is>
      </c>
      <c r="I26" s="20" t="inlineStr">
        <is>
          <t>BREAM</t>
        </is>
      </c>
      <c r="J26" s="20" t="inlineStr">
        <is>
          <t>FLOAT</t>
        </is>
      </c>
      <c r="K26" s="20" t="inlineStr">
        <is>
          <t>CATAPULT</t>
        </is>
      </c>
      <c r="L26" s="20" t="inlineStr">
        <is>
          <t>NET</t>
        </is>
      </c>
    </row>
    <row r="27">
      <c r="A27" s="19" t="n">
        <v>23</v>
      </c>
      <c r="B27" s="20" t="inlineStr">
        <is>
          <t>CATAPULT</t>
        </is>
      </c>
      <c r="C27" s="20" t="inlineStr">
        <is>
          <t>CATAPULT</t>
        </is>
      </c>
      <c r="D27" s="20" t="inlineStr">
        <is>
          <t>MIRROR</t>
        </is>
      </c>
      <c r="E27" s="20" t="inlineStr">
        <is>
          <t>FLASK</t>
        </is>
      </c>
      <c r="F27" s="20" t="inlineStr">
        <is>
          <t>CATAPULT</t>
        </is>
      </c>
      <c r="H27" s="20" t="inlineStr">
        <is>
          <t>CORN</t>
        </is>
      </c>
      <c r="I27" s="20" t="inlineStr">
        <is>
          <t>ROACH</t>
        </is>
      </c>
      <c r="J27" s="20" t="inlineStr">
        <is>
          <t>CORN</t>
        </is>
      </c>
      <c r="K27" s="20" t="inlineStr">
        <is>
          <t>MEAT</t>
        </is>
      </c>
      <c r="L27" s="20" t="inlineStr">
        <is>
          <t>CORN</t>
        </is>
      </c>
    </row>
    <row r="28">
      <c r="A28" s="19" t="n">
        <v>24</v>
      </c>
      <c r="B28" s="20" t="inlineStr">
        <is>
          <t>FLOAT</t>
        </is>
      </c>
      <c r="C28" s="20" t="inlineStr">
        <is>
          <t>CORN</t>
        </is>
      </c>
      <c r="D28" s="20" t="inlineStr">
        <is>
          <t>WILD</t>
        </is>
      </c>
      <c r="E28" s="20" t="inlineStr">
        <is>
          <t>CORN</t>
        </is>
      </c>
      <c r="F28" s="20" t="inlineStr">
        <is>
          <t>BREAM</t>
        </is>
      </c>
      <c r="H28" s="20" t="inlineStr">
        <is>
          <t>BREAM</t>
        </is>
      </c>
      <c r="I28" s="20" t="inlineStr">
        <is>
          <t>FLASK</t>
        </is>
      </c>
      <c r="J28" s="20" t="inlineStr">
        <is>
          <t>BOILIE</t>
        </is>
      </c>
      <c r="K28" s="20" t="inlineStr">
        <is>
          <t>CORN</t>
        </is>
      </c>
      <c r="L28" s="20" t="inlineStr">
        <is>
          <t>BIVVY</t>
        </is>
      </c>
    </row>
    <row r="29">
      <c r="A29" s="19" t="n">
        <v>25</v>
      </c>
      <c r="B29" s="20" t="inlineStr">
        <is>
          <t>FLOAT</t>
        </is>
      </c>
      <c r="C29" s="20" t="inlineStr">
        <is>
          <t>MEAT</t>
        </is>
      </c>
      <c r="D29" s="20" t="inlineStr">
        <is>
          <t>MEAT</t>
        </is>
      </c>
      <c r="E29" s="20" t="inlineStr">
        <is>
          <t>MIRROR</t>
        </is>
      </c>
      <c r="F29" s="20" t="inlineStr">
        <is>
          <t>BOILIE</t>
        </is>
      </c>
      <c r="H29" s="20" t="inlineStr">
        <is>
          <t>BOILIE</t>
        </is>
      </c>
      <c r="I29" s="20" t="inlineStr">
        <is>
          <t>BOILIE</t>
        </is>
      </c>
      <c r="J29" s="20" t="inlineStr">
        <is>
          <t>CORN</t>
        </is>
      </c>
      <c r="K29" s="20" t="inlineStr">
        <is>
          <t>BIVVY</t>
        </is>
      </c>
      <c r="L29" s="20" t="inlineStr">
        <is>
          <t>MEAT</t>
        </is>
      </c>
    </row>
    <row r="30">
      <c r="A30" s="19" t="n">
        <v>26</v>
      </c>
      <c r="B30" s="20" t="inlineStr">
        <is>
          <t>MEAT</t>
        </is>
      </c>
      <c r="C30" s="20" t="inlineStr">
        <is>
          <t>WILD</t>
        </is>
      </c>
      <c r="D30" s="20" t="inlineStr">
        <is>
          <t>BIVVY</t>
        </is>
      </c>
      <c r="E30" s="20" t="inlineStr">
        <is>
          <t>MEAT</t>
        </is>
      </c>
      <c r="F30" s="20" t="inlineStr">
        <is>
          <t>CORN</t>
        </is>
      </c>
      <c r="H30" s="20" t="inlineStr">
        <is>
          <t>CORN</t>
        </is>
      </c>
      <c r="I30" s="20" t="inlineStr">
        <is>
          <t>MEAT</t>
        </is>
      </c>
      <c r="J30" s="20" t="inlineStr">
        <is>
          <t>WILD</t>
        </is>
      </c>
      <c r="K30" s="20" t="inlineStr">
        <is>
          <t>FLASK</t>
        </is>
      </c>
      <c r="L30" s="20" t="inlineStr">
        <is>
          <t>BOILIE</t>
        </is>
      </c>
    </row>
    <row r="31">
      <c r="A31" s="19" t="n">
        <v>27</v>
      </c>
      <c r="B31" s="20" t="inlineStr">
        <is>
          <t>MEAT</t>
        </is>
      </c>
      <c r="C31" s="20" t="inlineStr">
        <is>
          <t>BOILIE</t>
        </is>
      </c>
      <c r="D31" s="20" t="inlineStr">
        <is>
          <t>CATAPULT</t>
        </is>
      </c>
      <c r="E31" s="20" t="inlineStr">
        <is>
          <t>CORN</t>
        </is>
      </c>
      <c r="F31" s="20" t="inlineStr">
        <is>
          <t>FLASK</t>
        </is>
      </c>
      <c r="H31" s="20" t="inlineStr">
        <is>
          <t>MEAT</t>
        </is>
      </c>
      <c r="I31" s="20" t="inlineStr">
        <is>
          <t>CASH</t>
        </is>
      </c>
      <c r="J31" s="20" t="inlineStr">
        <is>
          <t>MIRROR</t>
        </is>
      </c>
      <c r="K31" s="20" t="inlineStr">
        <is>
          <t>FLASK</t>
        </is>
      </c>
      <c r="L31" s="20" t="inlineStr">
        <is>
          <t>MIRROR</t>
        </is>
      </c>
    </row>
    <row r="32">
      <c r="A32" s="19" t="n">
        <v>28</v>
      </c>
      <c r="B32" s="20" t="inlineStr">
        <is>
          <t>NET</t>
        </is>
      </c>
      <c r="C32" s="20" t="inlineStr">
        <is>
          <t>CATAPULT</t>
        </is>
      </c>
      <c r="D32" s="20" t="inlineStr">
        <is>
          <t>MEAT</t>
        </is>
      </c>
      <c r="E32" s="20" t="inlineStr">
        <is>
          <t>FLASK</t>
        </is>
      </c>
      <c r="F32" s="20" t="inlineStr">
        <is>
          <t>MIRROR</t>
        </is>
      </c>
      <c r="H32" s="20" t="inlineStr">
        <is>
          <t>FLASK</t>
        </is>
      </c>
      <c r="I32" s="20" t="inlineStr">
        <is>
          <t>CORN</t>
        </is>
      </c>
      <c r="J32" s="20" t="inlineStr">
        <is>
          <t>ROACH</t>
        </is>
      </c>
      <c r="K32" s="20" t="inlineStr">
        <is>
          <t>NET</t>
        </is>
      </c>
      <c r="L32" s="20" t="inlineStr">
        <is>
          <t>NET</t>
        </is>
      </c>
    </row>
    <row r="33">
      <c r="A33" s="19" t="n">
        <v>29</v>
      </c>
      <c r="B33" s="20" t="inlineStr">
        <is>
          <t>BIVVY</t>
        </is>
      </c>
      <c r="C33" s="20" t="inlineStr">
        <is>
          <t>FLASK</t>
        </is>
      </c>
      <c r="D33" s="20" t="inlineStr">
        <is>
          <t>BOILIE</t>
        </is>
      </c>
      <c r="E33" s="20" t="inlineStr">
        <is>
          <t>NET</t>
        </is>
      </c>
      <c r="F33" s="20" t="inlineStr">
        <is>
          <t>MEAT</t>
        </is>
      </c>
      <c r="H33" s="20" t="inlineStr">
        <is>
          <t>CORN</t>
        </is>
      </c>
      <c r="I33" s="20" t="inlineStr">
        <is>
          <t>BIVVY</t>
        </is>
      </c>
      <c r="J33" s="20" t="inlineStr">
        <is>
          <t>BOILIE</t>
        </is>
      </c>
      <c r="K33" s="20" t="inlineStr">
        <is>
          <t>CASH</t>
        </is>
      </c>
      <c r="L33" s="20" t="inlineStr">
        <is>
          <t>FLOAT</t>
        </is>
      </c>
    </row>
    <row r="34">
      <c r="A34" s="19" t="n">
        <v>30</v>
      </c>
      <c r="B34" s="20" t="inlineStr">
        <is>
          <t>CORN</t>
        </is>
      </c>
      <c r="C34" s="20" t="inlineStr">
        <is>
          <t>TENCH</t>
        </is>
      </c>
      <c r="D34" s="20" t="inlineStr">
        <is>
          <t>CORN</t>
        </is>
      </c>
      <c r="E34" s="20" t="inlineStr">
        <is>
          <t>ALARM</t>
        </is>
      </c>
      <c r="F34" s="20" t="inlineStr">
        <is>
          <t>FLOAT</t>
        </is>
      </c>
      <c r="H34" s="20" t="inlineStr">
        <is>
          <t>BOILIE</t>
        </is>
      </c>
      <c r="I34" s="20" t="inlineStr">
        <is>
          <t>MEAT</t>
        </is>
      </c>
      <c r="J34" s="20" t="inlineStr">
        <is>
          <t>WILD</t>
        </is>
      </c>
      <c r="K34" s="20" t="inlineStr">
        <is>
          <t>MEAT</t>
        </is>
      </c>
      <c r="L34" s="20" t="inlineStr">
        <is>
          <t>CATAPULT</t>
        </is>
      </c>
    </row>
    <row r="35">
      <c r="A35" s="19" t="n">
        <v>31</v>
      </c>
      <c r="B35" s="20" t="inlineStr">
        <is>
          <t>BOILIE</t>
        </is>
      </c>
      <c r="C35" s="20" t="inlineStr">
        <is>
          <t>ALARM</t>
        </is>
      </c>
      <c r="D35" s="20" t="inlineStr">
        <is>
          <t>MEAT</t>
        </is>
      </c>
      <c r="E35" s="20" t="inlineStr">
        <is>
          <t>FLOAT</t>
        </is>
      </c>
      <c r="F35" s="20" t="inlineStr">
        <is>
          <t>TENCH</t>
        </is>
      </c>
      <c r="H35" s="20" t="inlineStr">
        <is>
          <t>CASH</t>
        </is>
      </c>
      <c r="I35" s="20" t="inlineStr">
        <is>
          <t>ALARM</t>
        </is>
      </c>
      <c r="J35" s="20" t="inlineStr">
        <is>
          <t>CASH</t>
        </is>
      </c>
      <c r="K35" s="20" t="inlineStr">
        <is>
          <t>BOILIE</t>
        </is>
      </c>
      <c r="L35" s="20" t="inlineStr">
        <is>
          <t>CASH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2026-10-12T09:40:26Z</dcterms:created>
  <dcterms:modified xsi:type="dcterms:W3CDTF">2026-10-12T09:40:26Z</dcterms:modified>
</cp:coreProperties>
</file>