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ytable" sheetId="2" state="visible" r:id="rId2"/>
    <sheet name="Reel Strips" sheetId="3" state="visible" r:id="rId3"/>
    <sheet name="Line Wins Base" sheetId="4" state="visible" r:id="rId4"/>
    <sheet name="Line Wins Free Spins" sheetId="5" state="visible" r:id="rId5"/>
    <sheet name="Fish Values" sheetId="6" state="visible" r:id="rId6"/>
    <sheet name="Baited Swims" sheetId="7" state="visible" r:id="rId7"/>
    <sheet name="Free Spins Feature" sheetId="8" state="visible" r:id="rId8"/>
    <sheet name="Win Distribution" sheetId="9" state="visible" r:id="rId9"/>
    <sheet name="Strip Listin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5">
    <numFmt numFmtId="164" formatCode="0.00&quot;x&quot;"/>
    <numFmt numFmtId="165" formatCode="0.0000"/>
    <numFmt numFmtId="166" formatCode="0.0000000"/>
    <numFmt numFmtId="167" formatCode="0.000%"/>
    <numFmt numFmtId="168" formatCode="0.0E+00"/>
    <numFmt numFmtId="169" formatCode="#,##0.0&quot;x&quot;"/>
    <numFmt numFmtId="170" formatCode="0.0000%"/>
    <numFmt numFmtId="171" formatCode="0.0000&quot;x&quot;"/>
    <numFmt numFmtId="172" formatCode="&quot;x&quot;0"/>
    <numFmt numFmtId="173" formatCode="0.000000000"/>
    <numFmt numFmtId="174" formatCode="0.000000"/>
    <numFmt numFmtId="175" formatCode="#,##0.0"/>
    <numFmt numFmtId="176" formatCode="0.000"/>
    <numFmt numFmtId="177" formatCode="0.000000%"/>
    <numFmt numFmtId="178" formatCode="#,##0&quot;x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color rgb="00008000"/>
      <sz val="10"/>
    </font>
    <font>
      <name val="Arial"/>
      <b val="1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6" fillId="0" borderId="0" pivotButton="0" quotePrefix="0" xfId="0"/>
    <xf numFmtId="167" fontId="6" fillId="3" borderId="0" pivotButton="0" quotePrefix="0" xfId="0"/>
    <xf numFmtId="0" fontId="4" fillId="0" borderId="0" pivotButton="0" quotePrefix="0" xfId="0"/>
    <xf numFmtId="167" fontId="7" fillId="0" borderId="0" pivotButton="0" quotePrefix="0" xfId="0"/>
    <xf numFmtId="167" fontId="5" fillId="0" borderId="0" pivotButton="0" quotePrefix="0" xfId="0"/>
    <xf numFmtId="167" fontId="8" fillId="3" borderId="0" pivotButton="0" quotePrefix="0" xfId="0"/>
    <xf numFmtId="175" fontId="7" fillId="0" borderId="0" pivotButton="0" quotePrefix="0" xfId="0"/>
    <xf numFmtId="2" fontId="7" fillId="0" borderId="0" pivotButton="0" quotePrefix="0" xfId="0"/>
    <xf numFmtId="164" fontId="7" fillId="0" borderId="0" pivotButton="0" quotePrefix="0" xfId="0"/>
    <xf numFmtId="176" fontId="7" fillId="0" borderId="0" pivotButton="0" quotePrefix="0" xfId="0"/>
    <xf numFmtId="2" fontId="5" fillId="0" borderId="0" pivotButton="0" quotePrefix="0" xfId="0"/>
    <xf numFmtId="169" fontId="5" fillId="0" borderId="0" pivotButton="0" quotePrefix="0" xfId="0"/>
    <xf numFmtId="178" fontId="5" fillId="0" borderId="0" pivotButton="0" quotePrefix="0" xfId="0"/>
    <xf numFmtId="3" fontId="5" fillId="0" borderId="0" pivotButton="0" quotePrefix="0" xfId="0"/>
    <xf numFmtId="3" fontId="4" fillId="0" borderId="0" pivotButton="0" quotePrefix="0" xfId="0"/>
    <xf numFmtId="0" fontId="5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7" fontId="4" fillId="0" borderId="0" pivotButton="0" quotePrefix="0" xfId="0"/>
    <xf numFmtId="166" fontId="5" fillId="0" borderId="0" pivotButton="0" quotePrefix="0" xfId="0"/>
    <xf numFmtId="167" fontId="6" fillId="0" borderId="0" pivotButton="0" quotePrefix="0" xfId="0"/>
    <xf numFmtId="168" fontId="4" fillId="0" borderId="0" pivotButton="0" quotePrefix="0" xfId="0"/>
    <xf numFmtId="170" fontId="4" fillId="0" borderId="0" pivotButton="0" quotePrefix="0" xfId="0"/>
    <xf numFmtId="171" fontId="4" fillId="0" borderId="0" pivotButton="0" quotePrefix="0" xfId="0"/>
    <xf numFmtId="171" fontId="6" fillId="0" borderId="0" pivotButton="0" quotePrefix="0" xfId="0"/>
    <xf numFmtId="172" fontId="5" fillId="0" borderId="0" pivotButton="0" quotePrefix="0" xfId="0"/>
    <xf numFmtId="173" fontId="5" fillId="0" borderId="0" pivotButton="0" quotePrefix="0" xfId="0"/>
    <xf numFmtId="174" fontId="4" fillId="0" borderId="0" pivotButton="0" quotePrefix="0" xfId="0"/>
    <xf numFmtId="173" fontId="4" fillId="0" borderId="0" pivotButton="0" quotePrefix="0" xfId="0"/>
    <xf numFmtId="174" fontId="6" fillId="0" borderId="0" pivotButton="0" quotePrefix="0" xfId="0"/>
    <xf numFmtId="175" fontId="4" fillId="0" borderId="0" pivotButton="0" quotePrefix="0" xfId="0"/>
    <xf numFmtId="176" fontId="4" fillId="0" borderId="0" pivotButton="0" quotePrefix="0" xfId="0"/>
    <xf numFmtId="171" fontId="7" fillId="0" borderId="0" pivotButton="0" quotePrefix="0" xfId="0"/>
    <xf numFmtId="165" fontId="7" fillId="0" borderId="0" pivotButton="0" quotePrefix="0" xfId="0"/>
    <xf numFmtId="177" fontId="4" fillId="0" borderId="0" pivotButton="0" quotePrefix="0" xfId="0"/>
    <xf numFmtId="3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4" customWidth="1" min="1" max="1"/>
    <col width="26" customWidth="1" min="2" max="2"/>
    <col width="60" customWidth="1" min="3" max="3"/>
  </cols>
  <sheetData>
    <row r="1">
      <c r="A1" s="1" t="inlineStr">
        <is>
          <t>Specimen Hunter - PAR sheet (probability accounting report)</t>
        </is>
      </c>
    </row>
    <row r="2">
      <c r="A2" s="2" t="inlineStr">
        <is>
          <t>v1.1 demo (baited swims) | 5x3, 10 fixed lines | generated 2026-10-12 | design figures, NOT independently certified</t>
        </is>
      </c>
    </row>
    <row r="4">
      <c r="A4" s="3" t="inlineStr">
        <is>
          <t>Measure</t>
        </is>
      </c>
      <c r="B4" s="3" t="inlineStr">
        <is>
          <t>Value</t>
        </is>
      </c>
      <c r="C4" s="3" t="inlineStr">
        <is>
          <t>Source</t>
        </is>
      </c>
    </row>
    <row r="5">
      <c r="A5" s="4" t="inlineStr">
        <is>
          <t>RTP with the 5,000x cap (design RTP)</t>
        </is>
      </c>
      <c r="B5" s="5">
        <f>B6-B7</f>
        <v/>
      </c>
      <c r="C5" s="2" t="inlineStr">
        <is>
          <t>Exact uncapped RTP minus the simulated cost of the cap</t>
        </is>
      </c>
    </row>
    <row r="6">
      <c r="A6" s="6" t="inlineStr">
        <is>
          <t>Theoretical RTP (exact, uncapped)</t>
        </is>
      </c>
      <c r="B6" s="7">
        <f>'Line Wins Base'!E41+'Free Spins Feature'!B24</f>
        <v/>
      </c>
      <c r="C6" s="2" t="inlineStr">
        <is>
          <t>Exact from strips (formulas in this workbook)</t>
        </is>
      </c>
    </row>
    <row r="7">
      <c r="A7" s="6" t="inlineStr">
        <is>
          <t>Cost of the 5,000x cap</t>
        </is>
      </c>
      <c r="B7" s="8" t="n">
        <v>0.0008481649029764782</v>
      </c>
      <c r="C7" s="2" t="inlineStr">
        <is>
          <t>Simulated: 20,000,002 features played with no cap, average amount over 5,000x x P(trigger) (95% CI +/- 0.010%)</t>
        </is>
      </c>
    </row>
    <row r="8">
      <c r="A8" s="6" t="inlineStr">
        <is>
          <t xml:space="preserve">  of which base game line wins</t>
        </is>
      </c>
      <c r="B8" s="7">
        <f>'Line Wins Base'!E41</f>
        <v/>
      </c>
      <c r="C8" s="2" t="inlineStr">
        <is>
          <t>Line Wins Base</t>
        </is>
      </c>
    </row>
    <row r="9">
      <c r="A9" s="6" t="inlineStr">
        <is>
          <t xml:space="preserve">  of which free spins feature</t>
        </is>
      </c>
      <c r="B9" s="7">
        <f>'Free Spins Feature'!B24</f>
        <v/>
      </c>
      <c r="C9" s="2" t="inlineStr">
        <is>
          <t>Free Spins Feature</t>
        </is>
      </c>
    </row>
    <row r="10">
      <c r="A10" s="4" t="inlineStr">
        <is>
          <t>Simulated RTP</t>
        </is>
      </c>
      <c r="B10" s="9" t="n">
        <v>0.9606714079772111</v>
      </c>
      <c r="C10" s="2" t="inlineStr">
        <is>
          <t>Simulation, 50,000,000 rounds</t>
        </is>
      </c>
    </row>
    <row r="11">
      <c r="A11" s="6" t="inlineStr">
        <is>
          <t>Simulated RTP 95% confidence (+/-)</t>
        </is>
      </c>
      <c r="B11" s="8" t="n">
        <v>0.002457221232476998</v>
      </c>
      <c r="C11" s="2" t="inlineStr">
        <is>
          <t>1.96 x SD / sqrt(rounds)</t>
        </is>
      </c>
    </row>
    <row r="12">
      <c r="A12" s="6" t="inlineStr">
        <is>
          <t>Hit frequency (any line win in base spin)</t>
        </is>
      </c>
      <c r="B12" s="8" t="n">
        <v>0.2549386</v>
      </c>
      <c r="C12" s="2" t="inlineStr">
        <is>
          <t>Simulation</t>
        </is>
      </c>
    </row>
    <row r="13">
      <c r="A13" s="6" t="inlineStr">
        <is>
          <t>Feature frequency: 1 in</t>
        </is>
      </c>
      <c r="B13" s="10">
        <f>'Free Spins Feature'!B9</f>
        <v/>
      </c>
      <c r="C13" s="2" t="inlineStr">
        <is>
          <t>Exact</t>
        </is>
      </c>
    </row>
    <row r="14">
      <c r="A14" s="6" t="inlineStr">
        <is>
          <t>Expected free spins per feature</t>
        </is>
      </c>
      <c r="B14" s="11">
        <f>'Free Spins Feature'!B14</f>
        <v/>
      </c>
      <c r="C14" s="2" t="inlineStr">
        <is>
          <t>Exact</t>
        </is>
      </c>
    </row>
    <row r="15">
      <c r="A15" s="6" t="inlineStr">
        <is>
          <t>Expected feature win (x stake)</t>
        </is>
      </c>
      <c r="B15" s="12">
        <f>'Free Spins Feature'!B23</f>
        <v/>
      </c>
      <c r="C15" s="2" t="inlineStr">
        <is>
          <t>Exact (uncapped)</t>
        </is>
      </c>
    </row>
    <row r="16">
      <c r="A16" s="6" t="inlineStr">
        <is>
          <t xml:space="preserve">  of which baited swims (x stake)</t>
        </is>
      </c>
      <c r="B16" s="12">
        <f>'Free Spins Feature'!B22</f>
        <v/>
      </c>
      <c r="C16" s="2" t="inlineStr">
        <is>
          <t>Exact</t>
        </is>
      </c>
    </row>
    <row r="17">
      <c r="A17" s="6" t="inlineStr">
        <is>
          <t>Expected catches per swim per feature</t>
        </is>
      </c>
      <c r="B17" s="13">
        <f>'Baited Swims'!$B$34</f>
        <v/>
      </c>
      <c r="C17" s="2" t="inlineStr">
        <is>
          <t>Exact (Baited Swims)</t>
        </is>
      </c>
    </row>
    <row r="18">
      <c r="A18" s="6" t="inlineStr">
        <is>
          <t>Volatility (standard deviation, x stake)</t>
        </is>
      </c>
      <c r="B18" s="14" t="n">
        <v>8.86488671612271</v>
      </c>
      <c r="C18" s="2" t="inlineStr">
        <is>
          <t>Simulation</t>
        </is>
      </c>
    </row>
    <row r="19">
      <c r="A19" s="6" t="inlineStr">
        <is>
          <t>Returns below stake (0 &lt; win &lt; 1x)</t>
        </is>
      </c>
      <c r="B19" s="8" t="n">
        <v>0.11147428</v>
      </c>
      <c r="C19" s="2" t="inlineStr">
        <is>
          <t>Simulation; not celebrated (RTS 14F)</t>
        </is>
      </c>
    </row>
    <row r="20">
      <c r="A20" s="6" t="inlineStr">
        <is>
          <t>Highest win in simulation (x stake)</t>
        </is>
      </c>
      <c r="B20" s="15" t="n">
        <v>5000</v>
      </c>
      <c r="C20" s="2" t="inlineStr">
        <is>
          <t>Simulation</t>
        </is>
      </c>
    </row>
    <row r="21">
      <c r="A21" s="6" t="inlineStr">
        <is>
          <t>Maximum win cap per round (x stake)</t>
        </is>
      </c>
      <c r="B21" s="16" t="n">
        <v>5000</v>
      </c>
      <c r="C21" s="2" t="inlineStr">
        <is>
          <t>engine.js MAX_WIN</t>
        </is>
      </c>
    </row>
    <row r="22">
      <c r="A22" s="6" t="inlineStr">
        <is>
          <t>Rounds that hit the cap in simulation</t>
        </is>
      </c>
      <c r="B22" s="17" t="n">
        <v>12</v>
      </c>
      <c r="C22" s="2" t="inlineStr">
        <is>
          <t>Simulation</t>
        </is>
      </c>
    </row>
    <row r="23">
      <c r="A23" s="6" t="inlineStr">
        <is>
          <t>Features that reach the cap: 1 in</t>
        </is>
      </c>
      <c r="B23" s="17" t="n">
        <v>39840.64143426295</v>
      </c>
      <c r="C23" s="2" t="inlineStr">
        <is>
          <t>Cap simulation (features with no cap)</t>
        </is>
      </c>
    </row>
    <row r="24">
      <c r="A24" s="6" t="inlineStr">
        <is>
          <t>Rounds that reach the cap: 1 in</t>
        </is>
      </c>
      <c r="B24" s="18">
        <f>B23/'Free Spins Feature'!B8</f>
        <v/>
      </c>
      <c r="C24" s="2" t="inlineStr">
        <is>
          <t>Features per cap hit / P(trigger)</t>
        </is>
      </c>
    </row>
    <row r="25">
      <c r="A25" s="6" t="inlineStr">
        <is>
          <t>Stake range (GB)</t>
        </is>
      </c>
      <c r="B25" s="19" t="inlineStr">
        <is>
          <t>£0.10 to £5.00 (£2.00 max for ages 18 to 24)</t>
        </is>
      </c>
      <c r="C25" s="2" t="inlineStr">
        <is>
          <t>GB online slots stake limits 2025; operator may set lower</t>
        </is>
      </c>
    </row>
    <row r="28">
      <c r="A28" s="2" t="inlineStr">
        <is>
          <t>Colour key: blue = input from game files or simulation; black = formula; green = link to another sheet.</t>
        </is>
      </c>
    </row>
    <row r="29">
      <c r="A29" s="2" t="inlineStr">
        <is>
          <t>Exact figures ignore the 5,000x cap. The simulation shows how rarely it is reached; its effect on RTP is a few thousandths of a percent.</t>
        </is>
      </c>
    </row>
    <row r="30">
      <c r="A30" s="2" t="inlineStr">
        <is>
          <t>Simulation uses the production engine (client/src/engine.js) with a seeded PRNG for repeatability.</t>
        </is>
      </c>
    </row>
    <row r="31">
      <c r="A31" s="2" t="inlineStr">
        <is>
          <t>Regenerate: node math/par_sheet.mjs 50000000 then python math/par_xlsx.py</t>
        </is>
      </c>
    </row>
    <row r="32">
      <c r="A32" s="2" t="inlineStr">
        <is>
          <t>This is the developer's design PAR. Certification by a UKGC-approved test house is required before real-money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8" customWidth="1" min="3" max="3"/>
    <col width="10" customWidth="1" min="4" max="4"/>
    <col width="10" customWidth="1" min="5" max="5"/>
    <col width="10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Paytable (line pays)</t>
        </is>
      </c>
    </row>
    <row r="2">
      <c r="A2" s="2" t="inlineStr">
        <is>
          <t>Units are per line as stored in engine.js; x stake = units / 10 (10 lines, stake = total bet). Wild substitutes for all line symbols.</t>
        </is>
      </c>
    </row>
    <row r="4">
      <c r="A4" s="3" t="inlineStr">
        <is>
          <t>Symbol</t>
        </is>
      </c>
      <c r="B4" s="3" t="inlineStr">
        <is>
          <t>Code</t>
        </is>
      </c>
      <c r="C4" s="3" t="inlineStr">
        <is>
          <t>Tier</t>
        </is>
      </c>
      <c r="D4" s="3" t="inlineStr">
        <is>
          <t>3 (units)</t>
        </is>
      </c>
      <c r="E4" s="3" t="inlineStr">
        <is>
          <t>4 (units)</t>
        </is>
      </c>
      <c r="F4" s="3" t="inlineStr">
        <is>
          <t>5 (units)</t>
        </is>
      </c>
      <c r="G4" s="3" t="inlineStr">
        <is>
          <t>3 (x stake)</t>
        </is>
      </c>
      <c r="H4" s="3" t="inlineStr">
        <is>
          <t>4 (x stake)</t>
        </is>
      </c>
      <c r="I4" s="3" t="inlineStr">
        <is>
          <t>5 (x stake)</t>
        </is>
      </c>
    </row>
    <row r="5">
      <c r="A5" s="6" t="inlineStr">
        <is>
          <t>Float</t>
        </is>
      </c>
      <c r="B5" s="6" t="inlineStr">
        <is>
          <t>FLOAT</t>
        </is>
      </c>
      <c r="C5" s="6" t="inlineStr">
        <is>
          <t>Low</t>
        </is>
      </c>
      <c r="D5" s="19" t="n">
        <v>6</v>
      </c>
      <c r="E5" s="19" t="n">
        <v>15</v>
      </c>
      <c r="F5" s="19" t="n">
        <v>30</v>
      </c>
      <c r="G5" s="20">
        <f>D5/10</f>
        <v/>
      </c>
      <c r="H5" s="20">
        <f>E5/10</f>
        <v/>
      </c>
      <c r="I5" s="20">
        <f>F5/10</f>
        <v/>
      </c>
    </row>
    <row r="6">
      <c r="A6" s="6" t="inlineStr">
        <is>
          <t>Boilies</t>
        </is>
      </c>
      <c r="B6" s="6" t="inlineStr">
        <is>
          <t>BOILIE</t>
        </is>
      </c>
      <c r="C6" s="6" t="inlineStr">
        <is>
          <t>Low</t>
        </is>
      </c>
      <c r="D6" s="19" t="n">
        <v>6</v>
      </c>
      <c r="E6" s="19" t="n">
        <v>15</v>
      </c>
      <c r="F6" s="19" t="n">
        <v>30</v>
      </c>
      <c r="G6" s="20">
        <f>D6/10</f>
        <v/>
      </c>
      <c r="H6" s="20">
        <f>E6/10</f>
        <v/>
      </c>
      <c r="I6" s="20">
        <f>F6/10</f>
        <v/>
      </c>
    </row>
    <row r="7">
      <c r="A7" s="6" t="inlineStr">
        <is>
          <t>Sweetcorn</t>
        </is>
      </c>
      <c r="B7" s="6" t="inlineStr">
        <is>
          <t>CORN</t>
        </is>
      </c>
      <c r="C7" s="6" t="inlineStr">
        <is>
          <t>Low</t>
        </is>
      </c>
      <c r="D7" s="19" t="n">
        <v>9</v>
      </c>
      <c r="E7" s="19" t="n">
        <v>24</v>
      </c>
      <c r="F7" s="19" t="n">
        <v>45</v>
      </c>
      <c r="G7" s="20">
        <f>D7/10</f>
        <v/>
      </c>
      <c r="H7" s="20">
        <f>E7/10</f>
        <v/>
      </c>
      <c r="I7" s="20">
        <f>F7/10</f>
        <v/>
      </c>
    </row>
    <row r="8">
      <c r="A8" s="6" t="inlineStr">
        <is>
          <t>Pellets</t>
        </is>
      </c>
      <c r="B8" s="6" t="inlineStr">
        <is>
          <t>PELLET</t>
        </is>
      </c>
      <c r="C8" s="6" t="inlineStr">
        <is>
          <t>Low</t>
        </is>
      </c>
      <c r="D8" s="19" t="n">
        <v>9</v>
      </c>
      <c r="E8" s="19" t="n">
        <v>24</v>
      </c>
      <c r="F8" s="19" t="n">
        <v>45</v>
      </c>
      <c r="G8" s="20">
        <f>D8/10</f>
        <v/>
      </c>
      <c r="H8" s="20">
        <f>E8/10</f>
        <v/>
      </c>
      <c r="I8" s="20">
        <f>F8/10</f>
        <v/>
      </c>
    </row>
    <row r="9">
      <c r="A9" s="6" t="inlineStr">
        <is>
          <t>Flask</t>
        </is>
      </c>
      <c r="B9" s="6" t="inlineStr">
        <is>
          <t>FLASK</t>
        </is>
      </c>
      <c r="C9" s="6" t="inlineStr">
        <is>
          <t>Mid</t>
        </is>
      </c>
      <c r="D9" s="19" t="n">
        <v>12</v>
      </c>
      <c r="E9" s="19" t="n">
        <v>30</v>
      </c>
      <c r="F9" s="19" t="n">
        <v>75</v>
      </c>
      <c r="G9" s="20">
        <f>D9/10</f>
        <v/>
      </c>
      <c r="H9" s="20">
        <f>E9/10</f>
        <v/>
      </c>
      <c r="I9" s="20">
        <f>F9/10</f>
        <v/>
      </c>
    </row>
    <row r="10">
      <c r="A10" s="6" t="inlineStr">
        <is>
          <t>Catapult</t>
        </is>
      </c>
      <c r="B10" s="6" t="inlineStr">
        <is>
          <t>CATAPULT</t>
        </is>
      </c>
      <c r="C10" s="6" t="inlineStr">
        <is>
          <t>Mid</t>
        </is>
      </c>
      <c r="D10" s="19" t="n">
        <v>15</v>
      </c>
      <c r="E10" s="19" t="n">
        <v>36</v>
      </c>
      <c r="F10" s="19" t="n">
        <v>90</v>
      </c>
      <c r="G10" s="20">
        <f>D10/10</f>
        <v/>
      </c>
      <c r="H10" s="20">
        <f>E10/10</f>
        <v/>
      </c>
      <c r="I10" s="20">
        <f>F10/10</f>
        <v/>
      </c>
    </row>
    <row r="11">
      <c r="A11" s="6" t="inlineStr">
        <is>
          <t>Landing Net</t>
        </is>
      </c>
      <c r="B11" s="6" t="inlineStr">
        <is>
          <t>NET</t>
        </is>
      </c>
      <c r="C11" s="6" t="inlineStr">
        <is>
          <t>Mid</t>
        </is>
      </c>
      <c r="D11" s="19" t="n">
        <v>18</v>
      </c>
      <c r="E11" s="19" t="n">
        <v>45</v>
      </c>
      <c r="F11" s="19" t="n">
        <v>120</v>
      </c>
      <c r="G11" s="20">
        <f>D11/10</f>
        <v/>
      </c>
      <c r="H11" s="20">
        <f>E11/10</f>
        <v/>
      </c>
      <c r="I11" s="20">
        <f>F11/10</f>
        <v/>
      </c>
    </row>
    <row r="12">
      <c r="A12" s="6" t="inlineStr">
        <is>
          <t>Bivvy</t>
        </is>
      </c>
      <c r="B12" s="6" t="inlineStr">
        <is>
          <t>BIVVY</t>
        </is>
      </c>
      <c r="C12" s="6" t="inlineStr">
        <is>
          <t>Mid</t>
        </is>
      </c>
      <c r="D12" s="19" t="n">
        <v>24</v>
      </c>
      <c r="E12" s="19" t="n">
        <v>60</v>
      </c>
      <c r="F12" s="19" t="n">
        <v>150</v>
      </c>
      <c r="G12" s="20">
        <f>D12/10</f>
        <v/>
      </c>
      <c r="H12" s="20">
        <f>E12/10</f>
        <v/>
      </c>
      <c r="I12" s="20">
        <f>F12/10</f>
        <v/>
      </c>
    </row>
    <row r="13">
      <c r="A13" s="6" t="inlineStr">
        <is>
          <t>Roach</t>
        </is>
      </c>
      <c r="B13" s="6" t="inlineStr">
        <is>
          <t>ROACH</t>
        </is>
      </c>
      <c r="C13" s="6" t="inlineStr">
        <is>
          <t>High</t>
        </is>
      </c>
      <c r="D13" s="19" t="n">
        <v>30</v>
      </c>
      <c r="E13" s="19" t="n">
        <v>75</v>
      </c>
      <c r="F13" s="19" t="n">
        <v>180</v>
      </c>
      <c r="G13" s="20">
        <f>D13/10</f>
        <v/>
      </c>
      <c r="H13" s="20">
        <f>E13/10</f>
        <v/>
      </c>
      <c r="I13" s="20">
        <f>F13/10</f>
        <v/>
      </c>
    </row>
    <row r="14">
      <c r="A14" s="6" t="inlineStr">
        <is>
          <t>Bream</t>
        </is>
      </c>
      <c r="B14" s="6" t="inlineStr">
        <is>
          <t>BREAM</t>
        </is>
      </c>
      <c r="C14" s="6" t="inlineStr">
        <is>
          <t>High</t>
        </is>
      </c>
      <c r="D14" s="19" t="n">
        <v>36</v>
      </c>
      <c r="E14" s="19" t="n">
        <v>90</v>
      </c>
      <c r="F14" s="19" t="n">
        <v>240</v>
      </c>
      <c r="G14" s="20">
        <f>D14/10</f>
        <v/>
      </c>
      <c r="H14" s="20">
        <f>E14/10</f>
        <v/>
      </c>
      <c r="I14" s="20">
        <f>F14/10</f>
        <v/>
      </c>
    </row>
    <row r="15">
      <c r="A15" s="6" t="inlineStr">
        <is>
          <t>Tench</t>
        </is>
      </c>
      <c r="B15" s="6" t="inlineStr">
        <is>
          <t>TENCH</t>
        </is>
      </c>
      <c r="C15" s="6" t="inlineStr">
        <is>
          <t>High</t>
        </is>
      </c>
      <c r="D15" s="19" t="n">
        <v>45</v>
      </c>
      <c r="E15" s="19" t="n">
        <v>120</v>
      </c>
      <c r="F15" s="19" t="n">
        <v>360</v>
      </c>
      <c r="G15" s="20">
        <f>D15/10</f>
        <v/>
      </c>
      <c r="H15" s="20">
        <f>E15/10</f>
        <v/>
      </c>
      <c r="I15" s="20">
        <f>F15/10</f>
        <v/>
      </c>
    </row>
    <row r="16">
      <c r="A16" s="6" t="inlineStr">
        <is>
          <t>Mirror Carp</t>
        </is>
      </c>
      <c r="B16" s="6" t="inlineStr">
        <is>
          <t>MIRROR</t>
        </is>
      </c>
      <c r="C16" s="6" t="inlineStr">
        <is>
          <t>High</t>
        </is>
      </c>
      <c r="D16" s="19" t="n">
        <v>60</v>
      </c>
      <c r="E16" s="19" t="n">
        <v>225</v>
      </c>
      <c r="F16" s="19" t="n">
        <v>750</v>
      </c>
      <c r="G16" s="20">
        <f>D16/10</f>
        <v/>
      </c>
      <c r="H16" s="20">
        <f>E16/10</f>
        <v/>
      </c>
      <c r="I16" s="20">
        <f>F16/10</f>
        <v/>
      </c>
    </row>
    <row r="18">
      <c r="A18" s="2" t="inlineStr">
        <is>
          <t>Source: client/src/engine.js PAY table. Five wilds on a line pay as Mirror Carp x5.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3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Reel strip symbol counts and stop probabilities</t>
        </is>
      </c>
    </row>
    <row r="2">
      <c r="A2" s="2" t="inlineStr">
        <is>
          <t>Counts from client/strips.json (each reel stops uniformly on one of its 32 positions). Probability = count / strip length.</t>
        </is>
      </c>
    </row>
    <row r="4">
      <c r="A4" s="4" t="inlineStr">
        <is>
          <t>Base game strips</t>
        </is>
      </c>
    </row>
    <row r="5">
      <c r="A5" s="3" t="inlineStr">
        <is>
          <t>Symbol</t>
        </is>
      </c>
      <c r="B5" s="3" t="inlineStr">
        <is>
          <t>Reel 1</t>
        </is>
      </c>
      <c r="C5" s="3" t="inlineStr">
        <is>
          <t>Reel 2</t>
        </is>
      </c>
      <c r="D5" s="3" t="inlineStr">
        <is>
          <t>Reel 3</t>
        </is>
      </c>
      <c r="E5" s="3" t="inlineStr">
        <is>
          <t>Reel 4</t>
        </is>
      </c>
      <c r="F5" s="3" t="inlineStr">
        <is>
          <t>Reel 5</t>
        </is>
      </c>
      <c r="G5" s="3" t="inlineStr"/>
      <c r="H5" s="3" t="inlineStr">
        <is>
          <t>P reel 1</t>
        </is>
      </c>
      <c r="I5" s="3" t="inlineStr">
        <is>
          <t>P reel 2</t>
        </is>
      </c>
      <c r="J5" s="3" t="inlineStr">
        <is>
          <t>P reel 3</t>
        </is>
      </c>
      <c r="K5" s="3" t="inlineStr">
        <is>
          <t>P reel 4</t>
        </is>
      </c>
      <c r="L5" s="3" t="inlineStr">
        <is>
          <t>P reel 5</t>
        </is>
      </c>
    </row>
    <row r="6">
      <c r="A6" s="6" t="inlineStr">
        <is>
          <t>Float</t>
        </is>
      </c>
      <c r="B6" s="17" t="n">
        <v>5</v>
      </c>
      <c r="C6" s="17" t="n">
        <v>3</v>
      </c>
      <c r="D6" s="17" t="n">
        <v>3</v>
      </c>
      <c r="E6" s="17" t="n">
        <v>3</v>
      </c>
      <c r="F6" s="17" t="n">
        <v>4</v>
      </c>
      <c r="H6" s="21">
        <f>B6/B$21</f>
        <v/>
      </c>
      <c r="I6" s="21">
        <f>C6/C$21</f>
        <v/>
      </c>
      <c r="J6" s="21">
        <f>D6/D$21</f>
        <v/>
      </c>
      <c r="K6" s="21">
        <f>E6/E$21</f>
        <v/>
      </c>
      <c r="L6" s="21">
        <f>F6/F$21</f>
        <v/>
      </c>
    </row>
    <row r="7">
      <c r="A7" s="6" t="inlineStr">
        <is>
          <t>Boilies</t>
        </is>
      </c>
      <c r="B7" s="17" t="n">
        <v>5</v>
      </c>
      <c r="C7" s="17" t="n">
        <v>3</v>
      </c>
      <c r="D7" s="17" t="n">
        <v>3</v>
      </c>
      <c r="E7" s="17" t="n">
        <v>3</v>
      </c>
      <c r="F7" s="17" t="n">
        <v>4</v>
      </c>
      <c r="H7" s="21">
        <f>B7/B$21</f>
        <v/>
      </c>
      <c r="I7" s="21">
        <f>C7/C$21</f>
        <v/>
      </c>
      <c r="J7" s="21">
        <f>D7/D$21</f>
        <v/>
      </c>
      <c r="K7" s="21">
        <f>E7/E$21</f>
        <v/>
      </c>
      <c r="L7" s="21">
        <f>F7/F$21</f>
        <v/>
      </c>
    </row>
    <row r="8">
      <c r="A8" s="6" t="inlineStr">
        <is>
          <t>Sweetcorn</t>
        </is>
      </c>
      <c r="B8" s="17" t="n">
        <v>4</v>
      </c>
      <c r="C8" s="17" t="n">
        <v>4</v>
      </c>
      <c r="D8" s="17" t="n">
        <v>4</v>
      </c>
      <c r="E8" s="17" t="n">
        <v>4</v>
      </c>
      <c r="F8" s="17" t="n">
        <v>4</v>
      </c>
      <c r="H8" s="21">
        <f>B8/B$21</f>
        <v/>
      </c>
      <c r="I8" s="21">
        <f>C8/C$21</f>
        <v/>
      </c>
      <c r="J8" s="21">
        <f>D8/D$21</f>
        <v/>
      </c>
      <c r="K8" s="21">
        <f>E8/E$21</f>
        <v/>
      </c>
      <c r="L8" s="21">
        <f>F8/F$21</f>
        <v/>
      </c>
    </row>
    <row r="9">
      <c r="A9" s="6" t="inlineStr">
        <is>
          <t>Pellets</t>
        </is>
      </c>
      <c r="B9" s="17" t="n">
        <v>4</v>
      </c>
      <c r="C9" s="17" t="n">
        <v>4</v>
      </c>
      <c r="D9" s="17" t="n">
        <v>4</v>
      </c>
      <c r="E9" s="17" t="n">
        <v>4</v>
      </c>
      <c r="F9" s="17" t="n">
        <v>4</v>
      </c>
      <c r="H9" s="21">
        <f>B9/B$21</f>
        <v/>
      </c>
      <c r="I9" s="21">
        <f>C9/C$21</f>
        <v/>
      </c>
      <c r="J9" s="21">
        <f>D9/D$21</f>
        <v/>
      </c>
      <c r="K9" s="21">
        <f>E9/E$21</f>
        <v/>
      </c>
      <c r="L9" s="21">
        <f>F9/F$21</f>
        <v/>
      </c>
    </row>
    <row r="10">
      <c r="A10" s="6" t="inlineStr">
        <is>
          <t>Flask</t>
        </is>
      </c>
      <c r="B10" s="17" t="n">
        <v>3</v>
      </c>
      <c r="C10" s="17" t="n">
        <v>3</v>
      </c>
      <c r="D10" s="17" t="n">
        <v>3</v>
      </c>
      <c r="E10" s="17" t="n">
        <v>3</v>
      </c>
      <c r="F10" s="17" t="n">
        <v>3</v>
      </c>
      <c r="H10" s="21">
        <f>B10/B$21</f>
        <v/>
      </c>
      <c r="I10" s="21">
        <f>C10/C$21</f>
        <v/>
      </c>
      <c r="J10" s="21">
        <f>D10/D$21</f>
        <v/>
      </c>
      <c r="K10" s="21">
        <f>E10/E$21</f>
        <v/>
      </c>
      <c r="L10" s="21">
        <f>F10/F$21</f>
        <v/>
      </c>
    </row>
    <row r="11">
      <c r="A11" s="6" t="inlineStr">
        <is>
          <t>Catapult</t>
        </is>
      </c>
      <c r="B11" s="17" t="n">
        <v>3</v>
      </c>
      <c r="C11" s="17" t="n">
        <v>2</v>
      </c>
      <c r="D11" s="17" t="n">
        <v>2</v>
      </c>
      <c r="E11" s="17" t="n">
        <v>2</v>
      </c>
      <c r="F11" s="17" t="n">
        <v>3</v>
      </c>
      <c r="H11" s="21">
        <f>B11/B$21</f>
        <v/>
      </c>
      <c r="I11" s="21">
        <f>C11/C$21</f>
        <v/>
      </c>
      <c r="J11" s="21">
        <f>D11/D$21</f>
        <v/>
      </c>
      <c r="K11" s="21">
        <f>E11/E$21</f>
        <v/>
      </c>
      <c r="L11" s="21">
        <f>F11/F$21</f>
        <v/>
      </c>
    </row>
    <row r="12">
      <c r="A12" s="6" t="inlineStr">
        <is>
          <t>Landing Net</t>
        </is>
      </c>
      <c r="B12" s="17" t="n">
        <v>2</v>
      </c>
      <c r="C12" s="17" t="n">
        <v>2</v>
      </c>
      <c r="D12" s="17" t="n">
        <v>2</v>
      </c>
      <c r="E12" s="17" t="n">
        <v>2</v>
      </c>
      <c r="F12" s="17" t="n">
        <v>2</v>
      </c>
      <c r="H12" s="21">
        <f>B12/B$21</f>
        <v/>
      </c>
      <c r="I12" s="21">
        <f>C12/C$21</f>
        <v/>
      </c>
      <c r="J12" s="21">
        <f>D12/D$21</f>
        <v/>
      </c>
      <c r="K12" s="21">
        <f>E12/E$21</f>
        <v/>
      </c>
      <c r="L12" s="21">
        <f>F12/F$21</f>
        <v/>
      </c>
    </row>
    <row r="13">
      <c r="A13" s="6" t="inlineStr">
        <is>
          <t>Bivvy</t>
        </is>
      </c>
      <c r="B13" s="17" t="n">
        <v>2</v>
      </c>
      <c r="C13" s="17" t="n">
        <v>2</v>
      </c>
      <c r="D13" s="17" t="n">
        <v>2</v>
      </c>
      <c r="E13" s="17" t="n">
        <v>2</v>
      </c>
      <c r="F13" s="17" t="n">
        <v>2</v>
      </c>
      <c r="H13" s="21">
        <f>B13/B$21</f>
        <v/>
      </c>
      <c r="I13" s="21">
        <f>C13/C$21</f>
        <v/>
      </c>
      <c r="J13" s="21">
        <f>D13/D$21</f>
        <v/>
      </c>
      <c r="K13" s="21">
        <f>E13/E$21</f>
        <v/>
      </c>
      <c r="L13" s="21">
        <f>F13/F$21</f>
        <v/>
      </c>
    </row>
    <row r="14">
      <c r="A14" s="6" t="inlineStr">
        <is>
          <t>Roach</t>
        </is>
      </c>
      <c r="B14" s="17" t="n">
        <v>1</v>
      </c>
      <c r="C14" s="17" t="n">
        <v>1</v>
      </c>
      <c r="D14" s="17" t="n">
        <v>1</v>
      </c>
      <c r="E14" s="17" t="n">
        <v>1</v>
      </c>
      <c r="F14" s="17" t="n">
        <v>1</v>
      </c>
      <c r="H14" s="21">
        <f>B14/B$21</f>
        <v/>
      </c>
      <c r="I14" s="21">
        <f>C14/C$21</f>
        <v/>
      </c>
      <c r="J14" s="21">
        <f>D14/D$21</f>
        <v/>
      </c>
      <c r="K14" s="21">
        <f>E14/E$21</f>
        <v/>
      </c>
      <c r="L14" s="21">
        <f>F14/F$21</f>
        <v/>
      </c>
    </row>
    <row r="15">
      <c r="A15" s="6" t="inlineStr">
        <is>
          <t>Bream</t>
        </is>
      </c>
      <c r="B15" s="17" t="n">
        <v>1</v>
      </c>
      <c r="C15" s="17" t="n">
        <v>1</v>
      </c>
      <c r="D15" s="17" t="n">
        <v>1</v>
      </c>
      <c r="E15" s="17" t="n">
        <v>1</v>
      </c>
      <c r="F15" s="17" t="n">
        <v>1</v>
      </c>
      <c r="H15" s="21">
        <f>B15/B$21</f>
        <v/>
      </c>
      <c r="I15" s="21">
        <f>C15/C$21</f>
        <v/>
      </c>
      <c r="J15" s="21">
        <f>D15/D$21</f>
        <v/>
      </c>
      <c r="K15" s="21">
        <f>E15/E$21</f>
        <v/>
      </c>
      <c r="L15" s="21">
        <f>F15/F$21</f>
        <v/>
      </c>
    </row>
    <row r="16">
      <c r="A16" s="6" t="inlineStr">
        <is>
          <t>Tench</t>
        </is>
      </c>
      <c r="B16" s="17" t="n">
        <v>1</v>
      </c>
      <c r="C16" s="17" t="n">
        <v>1</v>
      </c>
      <c r="D16" s="17" t="n">
        <v>1</v>
      </c>
      <c r="E16" s="17" t="n">
        <v>1</v>
      </c>
      <c r="F16" s="17" t="n">
        <v>1</v>
      </c>
      <c r="H16" s="21">
        <f>B16/B$21</f>
        <v/>
      </c>
      <c r="I16" s="21">
        <f>C16/C$21</f>
        <v/>
      </c>
      <c r="J16" s="21">
        <f>D16/D$21</f>
        <v/>
      </c>
      <c r="K16" s="21">
        <f>E16/E$21</f>
        <v/>
      </c>
      <c r="L16" s="21">
        <f>F16/F$21</f>
        <v/>
      </c>
    </row>
    <row r="17">
      <c r="A17" s="6" t="inlineStr">
        <is>
          <t>Mirror Carp</t>
        </is>
      </c>
      <c r="B17" s="17" t="n">
        <v>1</v>
      </c>
      <c r="C17" s="17" t="n">
        <v>1</v>
      </c>
      <c r="D17" s="17" t="n">
        <v>1</v>
      </c>
      <c r="E17" s="17" t="n">
        <v>1</v>
      </c>
      <c r="F17" s="17" t="n">
        <v>1</v>
      </c>
      <c r="H17" s="21">
        <f>B17/B$21</f>
        <v/>
      </c>
      <c r="I17" s="21">
        <f>C17/C$21</f>
        <v/>
      </c>
      <c r="J17" s="21">
        <f>D17/D$21</f>
        <v/>
      </c>
      <c r="K17" s="21">
        <f>E17/E$21</f>
        <v/>
      </c>
      <c r="L17" s="21">
        <f>F17/F$21</f>
        <v/>
      </c>
    </row>
    <row r="18">
      <c r="A18" s="6" t="inlineStr">
        <is>
          <t>Leather Carp (Wild)</t>
        </is>
      </c>
      <c r="B18" s="17" t="n">
        <v>0</v>
      </c>
      <c r="C18" s="17" t="n">
        <v>3</v>
      </c>
      <c r="D18" s="17" t="n">
        <v>3</v>
      </c>
      <c r="E18" s="17" t="n">
        <v>3</v>
      </c>
      <c r="F18" s="17" t="n">
        <v>2</v>
      </c>
      <c r="H18" s="21">
        <f>B18/B$21</f>
        <v/>
      </c>
      <c r="I18" s="21">
        <f>C18/C$21</f>
        <v/>
      </c>
      <c r="J18" s="21">
        <f>D18/D$21</f>
        <v/>
      </c>
      <c r="K18" s="21">
        <f>E18/E$21</f>
        <v/>
      </c>
      <c r="L18" s="21">
        <f>F18/F$21</f>
        <v/>
      </c>
    </row>
    <row r="19">
      <c r="A19" s="6" t="inlineStr">
        <is>
          <t>Bite Alarm (Scatter)</t>
        </is>
      </c>
      <c r="B19" s="17" t="n">
        <v>0</v>
      </c>
      <c r="C19" s="17" t="n">
        <v>2</v>
      </c>
      <c r="D19" s="17" t="n">
        <v>2</v>
      </c>
      <c r="E19" s="17" t="n">
        <v>2</v>
      </c>
      <c r="F19" s="17" t="n">
        <v>0</v>
      </c>
      <c r="H19" s="21">
        <f>B19/B$21</f>
        <v/>
      </c>
      <c r="I19" s="21">
        <f>C19/C$21</f>
        <v/>
      </c>
      <c r="J19" s="21">
        <f>D19/D$21</f>
        <v/>
      </c>
      <c r="K19" s="21">
        <f>E19/E$21</f>
        <v/>
      </c>
      <c r="L19" s="21">
        <f>F19/F$21</f>
        <v/>
      </c>
    </row>
    <row r="20">
      <c r="A20" s="6" t="inlineStr">
        <is>
          <t>Specimen Fish (Cash)</t>
        </is>
      </c>
      <c r="B20" s="17" t="n">
        <v>0</v>
      </c>
      <c r="C20" s="17" t="n">
        <v>0</v>
      </c>
      <c r="D20" s="17" t="n">
        <v>0</v>
      </c>
      <c r="E20" s="17" t="n">
        <v>0</v>
      </c>
      <c r="F20" s="17" t="n">
        <v>0</v>
      </c>
      <c r="H20" s="21">
        <f>B20/B$21</f>
        <v/>
      </c>
      <c r="I20" s="21">
        <f>C20/C$21</f>
        <v/>
      </c>
      <c r="J20" s="21">
        <f>D20/D$21</f>
        <v/>
      </c>
      <c r="K20" s="21">
        <f>E20/E$21</f>
        <v/>
      </c>
      <c r="L20" s="21">
        <f>F20/F$21</f>
        <v/>
      </c>
    </row>
    <row r="21">
      <c r="A21" s="4" t="inlineStr">
        <is>
          <t>Strip length</t>
        </is>
      </c>
      <c r="B21" s="18">
        <f>SUM(B6:B20)</f>
        <v/>
      </c>
      <c r="C21" s="18">
        <f>SUM(C6:C20)</f>
        <v/>
      </c>
      <c r="D21" s="18">
        <f>SUM(D6:D20)</f>
        <v/>
      </c>
      <c r="E21" s="18">
        <f>SUM(E6:E20)</f>
        <v/>
      </c>
      <c r="F21" s="18">
        <f>SUM(F6:F20)</f>
        <v/>
      </c>
    </row>
    <row r="23">
      <c r="A23" s="4" t="inlineStr">
        <is>
          <t>Free spins strips</t>
        </is>
      </c>
    </row>
    <row r="24">
      <c r="A24" s="3" t="inlineStr">
        <is>
          <t>Symbol</t>
        </is>
      </c>
      <c r="B24" s="3" t="inlineStr">
        <is>
          <t>Reel 1</t>
        </is>
      </c>
      <c r="C24" s="3" t="inlineStr">
        <is>
          <t>Reel 2</t>
        </is>
      </c>
      <c r="D24" s="3" t="inlineStr">
        <is>
          <t>Reel 3</t>
        </is>
      </c>
      <c r="E24" s="3" t="inlineStr">
        <is>
          <t>Reel 4</t>
        </is>
      </c>
      <c r="F24" s="3" t="inlineStr">
        <is>
          <t>Reel 5</t>
        </is>
      </c>
      <c r="G24" s="3" t="inlineStr"/>
      <c r="H24" s="3" t="inlineStr">
        <is>
          <t>P reel 1</t>
        </is>
      </c>
      <c r="I24" s="3" t="inlineStr">
        <is>
          <t>P reel 2</t>
        </is>
      </c>
      <c r="J24" s="3" t="inlineStr">
        <is>
          <t>P reel 3</t>
        </is>
      </c>
      <c r="K24" s="3" t="inlineStr">
        <is>
          <t>P reel 4</t>
        </is>
      </c>
      <c r="L24" s="3" t="inlineStr">
        <is>
          <t>P reel 5</t>
        </is>
      </c>
    </row>
    <row r="25">
      <c r="A25" s="6" t="inlineStr">
        <is>
          <t>Float</t>
        </is>
      </c>
      <c r="B25" s="17" t="n">
        <v>3</v>
      </c>
      <c r="C25" s="17" t="n">
        <v>2</v>
      </c>
      <c r="D25" s="17" t="n">
        <v>2</v>
      </c>
      <c r="E25" s="17" t="n">
        <v>2</v>
      </c>
      <c r="F25" s="17" t="n">
        <v>3</v>
      </c>
      <c r="H25" s="21">
        <f>B25/B$40</f>
        <v/>
      </c>
      <c r="I25" s="21">
        <f>C25/C$40</f>
        <v/>
      </c>
      <c r="J25" s="21">
        <f>D25/D$40</f>
        <v/>
      </c>
      <c r="K25" s="21">
        <f>E25/E$40</f>
        <v/>
      </c>
      <c r="L25" s="21">
        <f>F25/F$40</f>
        <v/>
      </c>
    </row>
    <row r="26">
      <c r="A26" s="6" t="inlineStr">
        <is>
          <t>Boilies</t>
        </is>
      </c>
      <c r="B26" s="17" t="n">
        <v>4</v>
      </c>
      <c r="C26" s="17" t="n">
        <v>3</v>
      </c>
      <c r="D26" s="17" t="n">
        <v>3</v>
      </c>
      <c r="E26" s="17" t="n">
        <v>3</v>
      </c>
      <c r="F26" s="17" t="n">
        <v>3</v>
      </c>
      <c r="H26" s="21">
        <f>B26/B$40</f>
        <v/>
      </c>
      <c r="I26" s="21">
        <f>C26/C$40</f>
        <v/>
      </c>
      <c r="J26" s="21">
        <f>D26/D$40</f>
        <v/>
      </c>
      <c r="K26" s="21">
        <f>E26/E$40</f>
        <v/>
      </c>
      <c r="L26" s="21">
        <f>F26/F$40</f>
        <v/>
      </c>
    </row>
    <row r="27">
      <c r="A27" s="6" t="inlineStr">
        <is>
          <t>Sweetcorn</t>
        </is>
      </c>
      <c r="B27" s="17" t="n">
        <v>4</v>
      </c>
      <c r="C27" s="17" t="n">
        <v>3</v>
      </c>
      <c r="D27" s="17" t="n">
        <v>3</v>
      </c>
      <c r="E27" s="17" t="n">
        <v>3</v>
      </c>
      <c r="F27" s="17" t="n">
        <v>3</v>
      </c>
      <c r="H27" s="21">
        <f>B27/B$40</f>
        <v/>
      </c>
      <c r="I27" s="21">
        <f>C27/C$40</f>
        <v/>
      </c>
      <c r="J27" s="21">
        <f>D27/D$40</f>
        <v/>
      </c>
      <c r="K27" s="21">
        <f>E27/E$40</f>
        <v/>
      </c>
      <c r="L27" s="21">
        <f>F27/F$40</f>
        <v/>
      </c>
    </row>
    <row r="28">
      <c r="A28" s="6" t="inlineStr">
        <is>
          <t>Pellets</t>
        </is>
      </c>
      <c r="B28" s="17" t="n">
        <v>4</v>
      </c>
      <c r="C28" s="17" t="n">
        <v>3</v>
      </c>
      <c r="D28" s="17" t="n">
        <v>3</v>
      </c>
      <c r="E28" s="17" t="n">
        <v>3</v>
      </c>
      <c r="F28" s="17" t="n">
        <v>4</v>
      </c>
      <c r="H28" s="21">
        <f>B28/B$40</f>
        <v/>
      </c>
      <c r="I28" s="21">
        <f>C28/C$40</f>
        <v/>
      </c>
      <c r="J28" s="21">
        <f>D28/D$40</f>
        <v/>
      </c>
      <c r="K28" s="21">
        <f>E28/E$40</f>
        <v/>
      </c>
      <c r="L28" s="21">
        <f>F28/F$40</f>
        <v/>
      </c>
    </row>
    <row r="29">
      <c r="A29" s="6" t="inlineStr">
        <is>
          <t>Flask</t>
        </is>
      </c>
      <c r="B29" s="17" t="n">
        <v>3</v>
      </c>
      <c r="C29" s="17" t="n">
        <v>3</v>
      </c>
      <c r="D29" s="17" t="n">
        <v>3</v>
      </c>
      <c r="E29" s="17" t="n">
        <v>3</v>
      </c>
      <c r="F29" s="17" t="n">
        <v>3</v>
      </c>
      <c r="H29" s="21">
        <f>B29/B$40</f>
        <v/>
      </c>
      <c r="I29" s="21">
        <f>C29/C$40</f>
        <v/>
      </c>
      <c r="J29" s="21">
        <f>D29/D$40</f>
        <v/>
      </c>
      <c r="K29" s="21">
        <f>E29/E$40</f>
        <v/>
      </c>
      <c r="L29" s="21">
        <f>F29/F$40</f>
        <v/>
      </c>
    </row>
    <row r="30">
      <c r="A30" s="6" t="inlineStr">
        <is>
          <t>Catapult</t>
        </is>
      </c>
      <c r="B30" s="17" t="n">
        <v>3</v>
      </c>
      <c r="C30" s="17" t="n">
        <v>2</v>
      </c>
      <c r="D30" s="17" t="n">
        <v>2</v>
      </c>
      <c r="E30" s="17" t="n">
        <v>2</v>
      </c>
      <c r="F30" s="17" t="n">
        <v>3</v>
      </c>
      <c r="H30" s="21">
        <f>B30/B$40</f>
        <v/>
      </c>
      <c r="I30" s="21">
        <f>C30/C$40</f>
        <v/>
      </c>
      <c r="J30" s="21">
        <f>D30/D$40</f>
        <v/>
      </c>
      <c r="K30" s="21">
        <f>E30/E$40</f>
        <v/>
      </c>
      <c r="L30" s="21">
        <f>F30/F$40</f>
        <v/>
      </c>
    </row>
    <row r="31">
      <c r="A31" s="6" t="inlineStr">
        <is>
          <t>Landing Net</t>
        </is>
      </c>
      <c r="B31" s="17" t="n">
        <v>2</v>
      </c>
      <c r="C31" s="17" t="n">
        <v>2</v>
      </c>
      <c r="D31" s="17" t="n">
        <v>2</v>
      </c>
      <c r="E31" s="17" t="n">
        <v>2</v>
      </c>
      <c r="F31" s="17" t="n">
        <v>2</v>
      </c>
      <c r="H31" s="21">
        <f>B31/B$40</f>
        <v/>
      </c>
      <c r="I31" s="21">
        <f>C31/C$40</f>
        <v/>
      </c>
      <c r="J31" s="21">
        <f>D31/D$40</f>
        <v/>
      </c>
      <c r="K31" s="21">
        <f>E31/E$40</f>
        <v/>
      </c>
      <c r="L31" s="21">
        <f>F31/F$40</f>
        <v/>
      </c>
    </row>
    <row r="32">
      <c r="A32" s="6" t="inlineStr">
        <is>
          <t>Bivvy</t>
        </is>
      </c>
      <c r="B32" s="17" t="n">
        <v>2</v>
      </c>
      <c r="C32" s="17" t="n">
        <v>2</v>
      </c>
      <c r="D32" s="17" t="n">
        <v>2</v>
      </c>
      <c r="E32" s="17" t="n">
        <v>2</v>
      </c>
      <c r="F32" s="17" t="n">
        <v>2</v>
      </c>
      <c r="H32" s="21">
        <f>B32/B$40</f>
        <v/>
      </c>
      <c r="I32" s="21">
        <f>C32/C$40</f>
        <v/>
      </c>
      <c r="J32" s="21">
        <f>D32/D$40</f>
        <v/>
      </c>
      <c r="K32" s="21">
        <f>E32/E$40</f>
        <v/>
      </c>
      <c r="L32" s="21">
        <f>F32/F$40</f>
        <v/>
      </c>
    </row>
    <row r="33">
      <c r="A33" s="6" t="inlineStr">
        <is>
          <t>Roach</t>
        </is>
      </c>
      <c r="B33" s="17" t="n">
        <v>1</v>
      </c>
      <c r="C33" s="17" t="n">
        <v>1</v>
      </c>
      <c r="D33" s="17" t="n">
        <v>1</v>
      </c>
      <c r="E33" s="17" t="n">
        <v>1</v>
      </c>
      <c r="F33" s="17" t="n">
        <v>1</v>
      </c>
      <c r="H33" s="21">
        <f>B33/B$40</f>
        <v/>
      </c>
      <c r="I33" s="21">
        <f>C33/C$40</f>
        <v/>
      </c>
      <c r="J33" s="21">
        <f>D33/D$40</f>
        <v/>
      </c>
      <c r="K33" s="21">
        <f>E33/E$40</f>
        <v/>
      </c>
      <c r="L33" s="21">
        <f>F33/F$40</f>
        <v/>
      </c>
    </row>
    <row r="34">
      <c r="A34" s="6" t="inlineStr">
        <is>
          <t>Bream</t>
        </is>
      </c>
      <c r="B34" s="17" t="n">
        <v>1</v>
      </c>
      <c r="C34" s="17" t="n">
        <v>1</v>
      </c>
      <c r="D34" s="17" t="n">
        <v>1</v>
      </c>
      <c r="E34" s="17" t="n">
        <v>1</v>
      </c>
      <c r="F34" s="17" t="n">
        <v>1</v>
      </c>
      <c r="H34" s="21">
        <f>B34/B$40</f>
        <v/>
      </c>
      <c r="I34" s="21">
        <f>C34/C$40</f>
        <v/>
      </c>
      <c r="J34" s="21">
        <f>D34/D$40</f>
        <v/>
      </c>
      <c r="K34" s="21">
        <f>E34/E$40</f>
        <v/>
      </c>
      <c r="L34" s="21">
        <f>F34/F$40</f>
        <v/>
      </c>
    </row>
    <row r="35">
      <c r="A35" s="6" t="inlineStr">
        <is>
          <t>Tench</t>
        </is>
      </c>
      <c r="B35" s="17" t="n">
        <v>1</v>
      </c>
      <c r="C35" s="17" t="n">
        <v>1</v>
      </c>
      <c r="D35" s="17" t="n">
        <v>1</v>
      </c>
      <c r="E35" s="17" t="n">
        <v>1</v>
      </c>
      <c r="F35" s="17" t="n">
        <v>1</v>
      </c>
      <c r="H35" s="21">
        <f>B35/B$40</f>
        <v/>
      </c>
      <c r="I35" s="21">
        <f>C35/C$40</f>
        <v/>
      </c>
      <c r="J35" s="21">
        <f>D35/D$40</f>
        <v/>
      </c>
      <c r="K35" s="21">
        <f>E35/E$40</f>
        <v/>
      </c>
      <c r="L35" s="21">
        <f>F35/F$40</f>
        <v/>
      </c>
    </row>
    <row r="36">
      <c r="A36" s="6" t="inlineStr">
        <is>
          <t>Mirror Carp</t>
        </is>
      </c>
      <c r="B36" s="17" t="n">
        <v>1</v>
      </c>
      <c r="C36" s="17" t="n">
        <v>1</v>
      </c>
      <c r="D36" s="17" t="n">
        <v>1</v>
      </c>
      <c r="E36" s="17" t="n">
        <v>1</v>
      </c>
      <c r="F36" s="17" t="n">
        <v>1</v>
      </c>
      <c r="H36" s="21">
        <f>B36/B$40</f>
        <v/>
      </c>
      <c r="I36" s="21">
        <f>C36/C$40</f>
        <v/>
      </c>
      <c r="J36" s="21">
        <f>D36/D$40</f>
        <v/>
      </c>
      <c r="K36" s="21">
        <f>E36/E$40</f>
        <v/>
      </c>
      <c r="L36" s="21">
        <f>F36/F$40</f>
        <v/>
      </c>
    </row>
    <row r="37">
      <c r="A37" s="6" t="inlineStr">
        <is>
          <t>Leather Carp (Wild)</t>
        </is>
      </c>
      <c r="B37" s="17" t="n">
        <v>0</v>
      </c>
      <c r="C37" s="17" t="n">
        <v>3</v>
      </c>
      <c r="D37" s="17" t="n">
        <v>3</v>
      </c>
      <c r="E37" s="17" t="n">
        <v>3</v>
      </c>
      <c r="F37" s="17" t="n">
        <v>2</v>
      </c>
      <c r="H37" s="21">
        <f>B37/B$40</f>
        <v/>
      </c>
      <c r="I37" s="21">
        <f>C37/C$40</f>
        <v/>
      </c>
      <c r="J37" s="21">
        <f>D37/D$40</f>
        <v/>
      </c>
      <c r="K37" s="21">
        <f>E37/E$40</f>
        <v/>
      </c>
      <c r="L37" s="21">
        <f>F37/F$40</f>
        <v/>
      </c>
    </row>
    <row r="38">
      <c r="A38" s="6" t="inlineStr">
        <is>
          <t>Bite Alarm (Scatter)</t>
        </is>
      </c>
      <c r="B38" s="17" t="n">
        <v>0</v>
      </c>
      <c r="C38" s="17" t="n">
        <v>2</v>
      </c>
      <c r="D38" s="17" t="n">
        <v>2</v>
      </c>
      <c r="E38" s="17" t="n">
        <v>2</v>
      </c>
      <c r="F38" s="17" t="n">
        <v>0</v>
      </c>
      <c r="H38" s="21">
        <f>B38/B$40</f>
        <v/>
      </c>
      <c r="I38" s="21">
        <f>C38/C$40</f>
        <v/>
      </c>
      <c r="J38" s="21">
        <f>D38/D$40</f>
        <v/>
      </c>
      <c r="K38" s="21">
        <f>E38/E$40</f>
        <v/>
      </c>
      <c r="L38" s="21">
        <f>F38/F$40</f>
        <v/>
      </c>
    </row>
    <row r="39">
      <c r="A39" s="6" t="inlineStr">
        <is>
          <t>Specimen Fish (Cash)</t>
        </is>
      </c>
      <c r="B39" s="17" t="n">
        <v>3</v>
      </c>
      <c r="C39" s="17" t="n">
        <v>3</v>
      </c>
      <c r="D39" s="17" t="n">
        <v>3</v>
      </c>
      <c r="E39" s="17" t="n">
        <v>3</v>
      </c>
      <c r="F39" s="17" t="n">
        <v>3</v>
      </c>
      <c r="H39" s="21">
        <f>B39/B$40</f>
        <v/>
      </c>
      <c r="I39" s="21">
        <f>C39/C$40</f>
        <v/>
      </c>
      <c r="J39" s="21">
        <f>D39/D$40</f>
        <v/>
      </c>
      <c r="K39" s="21">
        <f>E39/E$40</f>
        <v/>
      </c>
      <c r="L39" s="21">
        <f>F39/F$40</f>
        <v/>
      </c>
    </row>
    <row r="40">
      <c r="A40" s="4" t="inlineStr">
        <is>
          <t>Strip length</t>
        </is>
      </c>
      <c r="B40" s="18">
        <f>SUM(B25:B39)</f>
        <v/>
      </c>
      <c r="C40" s="18">
        <f>SUM(C25:C39)</f>
        <v/>
      </c>
      <c r="D40" s="18">
        <f>SUM(D25:D39)</f>
        <v/>
      </c>
      <c r="E40" s="18">
        <f>SUM(E25:E39)</f>
        <v/>
      </c>
      <c r="F40" s="18">
        <f>SUM(F25:F39)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  <col width="13" customWidth="1" min="4" max="4"/>
    <col width="16" customWidth="1" min="5" max="5"/>
    <col width="18" customWidth="1" min="6" max="6"/>
  </cols>
  <sheetData>
    <row r="1">
      <c r="A1" s="1" t="inlineStr">
        <is>
          <t>Line Wins Base: exact probability per payline</t>
        </is>
      </c>
    </row>
    <row r="2">
      <c r="A2" s="2" t="inlineStr">
        <is>
          <t>Formula: the first non-wild symbol on the line is the target; wilds before/after it count; the next symbol must break the run. Probabilities come from Reel Strips; RTP contribution = probability x pay (x stake) x 10 lines.</t>
        </is>
      </c>
    </row>
    <row r="4">
      <c r="A4" s="3" t="inlineStr">
        <is>
          <t>Symbol</t>
        </is>
      </c>
      <c r="B4" s="3" t="inlineStr">
        <is>
          <t>Count</t>
        </is>
      </c>
      <c r="C4" s="3" t="inlineStr">
        <is>
          <t>P (per line)</t>
        </is>
      </c>
      <c r="D4" s="3" t="inlineStr">
        <is>
          <t>Pay (x stake)</t>
        </is>
      </c>
      <c r="E4" s="3" t="inlineStr">
        <is>
          <t>RTP contribution</t>
        </is>
      </c>
      <c r="F4" s="3" t="inlineStr">
        <is>
          <t>Check: engine exact</t>
        </is>
      </c>
    </row>
    <row r="5">
      <c r="A5" s="6" t="inlineStr">
        <is>
          <t>Float</t>
        </is>
      </c>
      <c r="B5" s="18" t="n">
        <v>3</v>
      </c>
      <c r="C5" s="22">
        <f>'Reel Strips'!$H$6*('Reel Strips'!$I$6+'Reel Strips'!$I$18)*('Reel Strips'!$J$6+'Reel Strips'!$J$18)*(1-'Reel Strips'!$K$6-'Reel Strips'!$K$18)+'Reel Strips'!$H$18*'Reel Strips'!$I$6*('Reel Strips'!$J$6+'Reel Strips'!$J$18)*(1-'Reel Strips'!$K$6-'Reel Strips'!$K$18)+'Reel Strips'!$H$18*'Reel Strips'!$I$18*'Reel Strips'!$J$6*(1-'Reel Strips'!$K$6-'Reel Strips'!$K$18)</f>
        <v/>
      </c>
      <c r="D5" s="12">
        <f>Paytable!G5</f>
        <v/>
      </c>
      <c r="E5" s="23">
        <f>C5*D5*10</f>
        <v/>
      </c>
      <c r="F5" s="24" t="n">
        <v>0.00446319580078125</v>
      </c>
    </row>
    <row r="6">
      <c r="A6" s="6" t="inlineStr">
        <is>
          <t>Float</t>
        </is>
      </c>
      <c r="B6" s="18" t="n">
        <v>4</v>
      </c>
      <c r="C6" s="22">
        <f>'Reel Strips'!$H$6*('Reel Strips'!$I$6+'Reel Strips'!$I$18)*('Reel Strips'!$J$6+'Reel Strips'!$J$18)*('Reel Strips'!$K$6+'Reel Strips'!$K$18)*(1-'Reel Strips'!$L$6-'Reel Strips'!$L$18)+'Reel Strips'!$H$18*'Reel Strips'!$I$6*('Reel Strips'!$J$6+'Reel Strips'!$J$18)*('Reel Strips'!$K$6+'Reel Strips'!$K$18)*(1-'Reel Strips'!$L$6-'Reel Strips'!$L$18)+'Reel Strips'!$H$18*'Reel Strips'!$I$18*'Reel Strips'!$J$6*('Reel Strips'!$K$6+'Reel Strips'!$K$18)*(1-'Reel Strips'!$L$6-'Reel Strips'!$L$18)+'Reel Strips'!$H$18*'Reel Strips'!$I$18*'Reel Strips'!$J$18*'Reel Strips'!$K$6*(1-'Reel Strips'!$L$6-'Reel Strips'!$L$18)</f>
        <v/>
      </c>
      <c r="D6" s="12">
        <f>Paytable!H5</f>
        <v/>
      </c>
      <c r="E6" s="23">
        <f>C6*D6*10</f>
        <v/>
      </c>
      <c r="F6" s="24" t="n">
        <v>0.0008368492126464844</v>
      </c>
    </row>
    <row r="7">
      <c r="A7" s="6" t="inlineStr">
        <is>
          <t>Float</t>
        </is>
      </c>
      <c r="B7" s="18" t="n">
        <v>5</v>
      </c>
      <c r="C7" s="22">
        <f>'Reel Strips'!$H$6*('Reel Strips'!$I$6+'Reel Strips'!$I$18)*('Reel Strips'!$J$6+'Reel Strips'!$J$18)*('Reel Strips'!$K$6+'Reel Strips'!$K$18)*('Reel Strips'!$L$6+'Reel Strips'!$L$18)+'Reel Strips'!$H$18*'Reel Strips'!$I$6*('Reel Strips'!$J$6+'Reel Strips'!$J$18)*('Reel Strips'!$K$6+'Reel Strips'!$K$18)*('Reel Strips'!$L$6+'Reel Strips'!$L$18)+'Reel Strips'!$H$18*'Reel Strips'!$I$18*'Reel Strips'!$J$6*('Reel Strips'!$K$6+'Reel Strips'!$K$18)*('Reel Strips'!$L$6+'Reel Strips'!$L$18)+'Reel Strips'!$H$18*'Reel Strips'!$I$18*'Reel Strips'!$J$18*'Reel Strips'!$K$6*('Reel Strips'!$L$6+'Reel Strips'!$L$18)+'Reel Strips'!$H$18*'Reel Strips'!$I$18*'Reel Strips'!$J$18*'Reel Strips'!$K$18*'Reel Strips'!$L$6</f>
        <v/>
      </c>
      <c r="D7" s="12">
        <f>Paytable!I5</f>
        <v/>
      </c>
      <c r="E7" s="23">
        <f>C7*D7*10</f>
        <v/>
      </c>
      <c r="F7" s="24" t="n">
        <v>0.0001931190490722656</v>
      </c>
    </row>
    <row r="8">
      <c r="A8" s="6" t="inlineStr">
        <is>
          <t>Boilies</t>
        </is>
      </c>
      <c r="B8" s="18" t="n">
        <v>3</v>
      </c>
      <c r="C8" s="22">
        <f>'Reel Strips'!$H$7*('Reel Strips'!$I$7+'Reel Strips'!$I$18)*('Reel Strips'!$J$7+'Reel Strips'!$J$18)*(1-'Reel Strips'!$K$7-'Reel Strips'!$K$18)+'Reel Strips'!$H$18*'Reel Strips'!$I$7*('Reel Strips'!$J$7+'Reel Strips'!$J$18)*(1-'Reel Strips'!$K$7-'Reel Strips'!$K$18)+'Reel Strips'!$H$18*'Reel Strips'!$I$18*'Reel Strips'!$J$7*(1-'Reel Strips'!$K$7-'Reel Strips'!$K$18)</f>
        <v/>
      </c>
      <c r="D8" s="12">
        <f>Paytable!G6</f>
        <v/>
      </c>
      <c r="E8" s="23">
        <f>C8*D8*10</f>
        <v/>
      </c>
      <c r="F8" s="24" t="n">
        <v>0.00446319580078125</v>
      </c>
    </row>
    <row r="9">
      <c r="A9" s="6" t="inlineStr">
        <is>
          <t>Boilies</t>
        </is>
      </c>
      <c r="B9" s="18" t="n">
        <v>4</v>
      </c>
      <c r="C9" s="22">
        <f>'Reel Strips'!$H$7*('Reel Strips'!$I$7+'Reel Strips'!$I$18)*('Reel Strips'!$J$7+'Reel Strips'!$J$18)*('Reel Strips'!$K$7+'Reel Strips'!$K$18)*(1-'Reel Strips'!$L$7-'Reel Strips'!$L$18)+'Reel Strips'!$H$18*'Reel Strips'!$I$7*('Reel Strips'!$J$7+'Reel Strips'!$J$18)*('Reel Strips'!$K$7+'Reel Strips'!$K$18)*(1-'Reel Strips'!$L$7-'Reel Strips'!$L$18)+'Reel Strips'!$H$18*'Reel Strips'!$I$18*'Reel Strips'!$J$7*('Reel Strips'!$K$7+'Reel Strips'!$K$18)*(1-'Reel Strips'!$L$7-'Reel Strips'!$L$18)+'Reel Strips'!$H$18*'Reel Strips'!$I$18*'Reel Strips'!$J$18*'Reel Strips'!$K$7*(1-'Reel Strips'!$L$7-'Reel Strips'!$L$18)</f>
        <v/>
      </c>
      <c r="D9" s="12">
        <f>Paytable!H6</f>
        <v/>
      </c>
      <c r="E9" s="23">
        <f>C9*D9*10</f>
        <v/>
      </c>
      <c r="F9" s="24" t="n">
        <v>0.0008368492126464844</v>
      </c>
    </row>
    <row r="10">
      <c r="A10" s="6" t="inlineStr">
        <is>
          <t>Boilies</t>
        </is>
      </c>
      <c r="B10" s="18" t="n">
        <v>5</v>
      </c>
      <c r="C10" s="22">
        <f>'Reel Strips'!$H$7*('Reel Strips'!$I$7+'Reel Strips'!$I$18)*('Reel Strips'!$J$7+'Reel Strips'!$J$18)*('Reel Strips'!$K$7+'Reel Strips'!$K$18)*('Reel Strips'!$L$7+'Reel Strips'!$L$18)+'Reel Strips'!$H$18*'Reel Strips'!$I$7*('Reel Strips'!$J$7+'Reel Strips'!$J$18)*('Reel Strips'!$K$7+'Reel Strips'!$K$18)*('Reel Strips'!$L$7+'Reel Strips'!$L$18)+'Reel Strips'!$H$18*'Reel Strips'!$I$18*'Reel Strips'!$J$7*('Reel Strips'!$K$7+'Reel Strips'!$K$18)*('Reel Strips'!$L$7+'Reel Strips'!$L$18)+'Reel Strips'!$H$18*'Reel Strips'!$I$18*'Reel Strips'!$J$18*'Reel Strips'!$K$7*('Reel Strips'!$L$7+'Reel Strips'!$L$18)+'Reel Strips'!$H$18*'Reel Strips'!$I$18*'Reel Strips'!$J$18*'Reel Strips'!$K$18*'Reel Strips'!$L$7</f>
        <v/>
      </c>
      <c r="D10" s="12">
        <f>Paytable!I6</f>
        <v/>
      </c>
      <c r="E10" s="23">
        <f>C10*D10*10</f>
        <v/>
      </c>
      <c r="F10" s="24" t="n">
        <v>0.0001931190490722656</v>
      </c>
    </row>
    <row r="11">
      <c r="A11" s="6" t="inlineStr">
        <is>
          <t>Sweetcorn</t>
        </is>
      </c>
      <c r="B11" s="18" t="n">
        <v>3</v>
      </c>
      <c r="C11" s="22">
        <f>'Reel Strips'!$H$8*('Reel Strips'!$I$8+'Reel Strips'!$I$18)*('Reel Strips'!$J$8+'Reel Strips'!$J$18)*(1-'Reel Strips'!$K$8-'Reel Strips'!$K$18)+'Reel Strips'!$H$18*'Reel Strips'!$I$8*('Reel Strips'!$J$8+'Reel Strips'!$J$18)*(1-'Reel Strips'!$K$8-'Reel Strips'!$K$18)+'Reel Strips'!$H$18*'Reel Strips'!$I$18*'Reel Strips'!$J$8*(1-'Reel Strips'!$K$8-'Reel Strips'!$K$18)</f>
        <v/>
      </c>
      <c r="D11" s="12">
        <f>Paytable!G7</f>
        <v/>
      </c>
      <c r="E11" s="23">
        <f>C11*D11*10</f>
        <v/>
      </c>
      <c r="F11" s="24" t="n">
        <v>0.004673004150390625</v>
      </c>
    </row>
    <row r="12">
      <c r="A12" s="6" t="inlineStr">
        <is>
          <t>Sweetcorn</t>
        </is>
      </c>
      <c r="B12" s="18" t="n">
        <v>4</v>
      </c>
      <c r="C12" s="22">
        <f>'Reel Strips'!$H$8*('Reel Strips'!$I$8+'Reel Strips'!$I$18)*('Reel Strips'!$J$8+'Reel Strips'!$J$18)*('Reel Strips'!$K$8+'Reel Strips'!$K$18)*(1-'Reel Strips'!$L$8-'Reel Strips'!$L$18)+'Reel Strips'!$H$18*'Reel Strips'!$I$8*('Reel Strips'!$J$8+'Reel Strips'!$J$18)*('Reel Strips'!$K$8+'Reel Strips'!$K$18)*(1-'Reel Strips'!$L$8-'Reel Strips'!$L$18)+'Reel Strips'!$H$18*'Reel Strips'!$I$18*'Reel Strips'!$J$8*('Reel Strips'!$K$8+'Reel Strips'!$K$18)*(1-'Reel Strips'!$L$8-'Reel Strips'!$L$18)+'Reel Strips'!$H$18*'Reel Strips'!$I$18*'Reel Strips'!$J$18*'Reel Strips'!$K$8*(1-'Reel Strips'!$L$8-'Reel Strips'!$L$18)</f>
        <v/>
      </c>
      <c r="D12" s="12">
        <f>Paytable!H7</f>
        <v/>
      </c>
      <c r="E12" s="23">
        <f>C12*D12*10</f>
        <v/>
      </c>
      <c r="F12" s="24" t="n">
        <v>0.001063108444213867</v>
      </c>
    </row>
    <row r="13">
      <c r="A13" s="6" t="inlineStr">
        <is>
          <t>Sweetcorn</t>
        </is>
      </c>
      <c r="B13" s="18" t="n">
        <v>5</v>
      </c>
      <c r="C13" s="22">
        <f>'Reel Strips'!$H$8*('Reel Strips'!$I$8+'Reel Strips'!$I$18)*('Reel Strips'!$J$8+'Reel Strips'!$J$18)*('Reel Strips'!$K$8+'Reel Strips'!$K$18)*('Reel Strips'!$L$8+'Reel Strips'!$L$18)+'Reel Strips'!$H$18*'Reel Strips'!$I$8*('Reel Strips'!$J$8+'Reel Strips'!$J$18)*('Reel Strips'!$K$8+'Reel Strips'!$K$18)*('Reel Strips'!$L$8+'Reel Strips'!$L$18)+'Reel Strips'!$H$18*'Reel Strips'!$I$18*'Reel Strips'!$J$8*('Reel Strips'!$K$8+'Reel Strips'!$K$18)*('Reel Strips'!$L$8+'Reel Strips'!$L$18)+'Reel Strips'!$H$18*'Reel Strips'!$I$18*'Reel Strips'!$J$18*'Reel Strips'!$K$8*('Reel Strips'!$L$8+'Reel Strips'!$L$18)+'Reel Strips'!$H$18*'Reel Strips'!$I$18*'Reel Strips'!$J$18*'Reel Strips'!$K$18*'Reel Strips'!$L$8</f>
        <v/>
      </c>
      <c r="D13" s="12">
        <f>Paytable!I7</f>
        <v/>
      </c>
      <c r="E13" s="23">
        <f>C13*D13*10</f>
        <v/>
      </c>
      <c r="F13" s="24" t="n">
        <v>0.0002453327178955078</v>
      </c>
    </row>
    <row r="14">
      <c r="A14" s="6" t="inlineStr">
        <is>
          <t>Pellets</t>
        </is>
      </c>
      <c r="B14" s="18" t="n">
        <v>3</v>
      </c>
      <c r="C14" s="22">
        <f>'Reel Strips'!$H$9*('Reel Strips'!$I$9+'Reel Strips'!$I$18)*('Reel Strips'!$J$9+'Reel Strips'!$J$18)*(1-'Reel Strips'!$K$9-'Reel Strips'!$K$18)+'Reel Strips'!$H$18*'Reel Strips'!$I$9*('Reel Strips'!$J$9+'Reel Strips'!$J$18)*(1-'Reel Strips'!$K$9-'Reel Strips'!$K$18)+'Reel Strips'!$H$18*'Reel Strips'!$I$18*'Reel Strips'!$J$9*(1-'Reel Strips'!$K$9-'Reel Strips'!$K$18)</f>
        <v/>
      </c>
      <c r="D14" s="12">
        <f>Paytable!G8</f>
        <v/>
      </c>
      <c r="E14" s="23">
        <f>C14*D14*10</f>
        <v/>
      </c>
      <c r="F14" s="24" t="n">
        <v>0.004673004150390625</v>
      </c>
    </row>
    <row r="15">
      <c r="A15" s="6" t="inlineStr">
        <is>
          <t>Pellets</t>
        </is>
      </c>
      <c r="B15" s="18" t="n">
        <v>4</v>
      </c>
      <c r="C15" s="22">
        <f>'Reel Strips'!$H$9*('Reel Strips'!$I$9+'Reel Strips'!$I$18)*('Reel Strips'!$J$9+'Reel Strips'!$J$18)*('Reel Strips'!$K$9+'Reel Strips'!$K$18)*(1-'Reel Strips'!$L$9-'Reel Strips'!$L$18)+'Reel Strips'!$H$18*'Reel Strips'!$I$9*('Reel Strips'!$J$9+'Reel Strips'!$J$18)*('Reel Strips'!$K$9+'Reel Strips'!$K$18)*(1-'Reel Strips'!$L$9-'Reel Strips'!$L$18)+'Reel Strips'!$H$18*'Reel Strips'!$I$18*'Reel Strips'!$J$9*('Reel Strips'!$K$9+'Reel Strips'!$K$18)*(1-'Reel Strips'!$L$9-'Reel Strips'!$L$18)+'Reel Strips'!$H$18*'Reel Strips'!$I$18*'Reel Strips'!$J$18*'Reel Strips'!$K$9*(1-'Reel Strips'!$L$9-'Reel Strips'!$L$18)</f>
        <v/>
      </c>
      <c r="D15" s="12">
        <f>Paytable!H8</f>
        <v/>
      </c>
      <c r="E15" s="23">
        <f>C15*D15*10</f>
        <v/>
      </c>
      <c r="F15" s="24" t="n">
        <v>0.001063108444213867</v>
      </c>
    </row>
    <row r="16">
      <c r="A16" s="6" t="inlineStr">
        <is>
          <t>Pellets</t>
        </is>
      </c>
      <c r="B16" s="18" t="n">
        <v>5</v>
      </c>
      <c r="C16" s="22">
        <f>'Reel Strips'!$H$9*('Reel Strips'!$I$9+'Reel Strips'!$I$18)*('Reel Strips'!$J$9+'Reel Strips'!$J$18)*('Reel Strips'!$K$9+'Reel Strips'!$K$18)*('Reel Strips'!$L$9+'Reel Strips'!$L$18)+'Reel Strips'!$H$18*'Reel Strips'!$I$9*('Reel Strips'!$J$9+'Reel Strips'!$J$18)*('Reel Strips'!$K$9+'Reel Strips'!$K$18)*('Reel Strips'!$L$9+'Reel Strips'!$L$18)+'Reel Strips'!$H$18*'Reel Strips'!$I$18*'Reel Strips'!$J$9*('Reel Strips'!$K$9+'Reel Strips'!$K$18)*('Reel Strips'!$L$9+'Reel Strips'!$L$18)+'Reel Strips'!$H$18*'Reel Strips'!$I$18*'Reel Strips'!$J$18*'Reel Strips'!$K$9*('Reel Strips'!$L$9+'Reel Strips'!$L$18)+'Reel Strips'!$H$18*'Reel Strips'!$I$18*'Reel Strips'!$J$18*'Reel Strips'!$K$18*'Reel Strips'!$L$9</f>
        <v/>
      </c>
      <c r="D16" s="12">
        <f>Paytable!I8</f>
        <v/>
      </c>
      <c r="E16" s="23">
        <f>C16*D16*10</f>
        <v/>
      </c>
      <c r="F16" s="24" t="n">
        <v>0.0002453327178955078</v>
      </c>
    </row>
    <row r="17">
      <c r="A17" s="6" t="inlineStr">
        <is>
          <t>Flask</t>
        </is>
      </c>
      <c r="B17" s="18" t="n">
        <v>3</v>
      </c>
      <c r="C17" s="22">
        <f>'Reel Strips'!$H$10*('Reel Strips'!$I$10+'Reel Strips'!$I$18)*('Reel Strips'!$J$10+'Reel Strips'!$J$18)*(1-'Reel Strips'!$K$10-'Reel Strips'!$K$18)+'Reel Strips'!$H$18*'Reel Strips'!$I$10*('Reel Strips'!$J$10+'Reel Strips'!$J$18)*(1-'Reel Strips'!$K$10-'Reel Strips'!$K$18)+'Reel Strips'!$H$18*'Reel Strips'!$I$18*'Reel Strips'!$J$10*(1-'Reel Strips'!$K$10-'Reel Strips'!$K$18)</f>
        <v/>
      </c>
      <c r="D17" s="12">
        <f>Paytable!G9</f>
        <v/>
      </c>
      <c r="E17" s="23">
        <f>C17*D17*10</f>
        <v/>
      </c>
      <c r="F17" s="24" t="n">
        <v>0.00267791748046875</v>
      </c>
    </row>
    <row r="18">
      <c r="A18" s="6" t="inlineStr">
        <is>
          <t>Flask</t>
        </is>
      </c>
      <c r="B18" s="18" t="n">
        <v>4</v>
      </c>
      <c r="C18" s="22">
        <f>'Reel Strips'!$H$10*('Reel Strips'!$I$10+'Reel Strips'!$I$18)*('Reel Strips'!$J$10+'Reel Strips'!$J$18)*('Reel Strips'!$K$10+'Reel Strips'!$K$18)*(1-'Reel Strips'!$L$10-'Reel Strips'!$L$18)+'Reel Strips'!$H$18*'Reel Strips'!$I$10*('Reel Strips'!$J$10+'Reel Strips'!$J$18)*('Reel Strips'!$K$10+'Reel Strips'!$K$18)*(1-'Reel Strips'!$L$10-'Reel Strips'!$L$18)+'Reel Strips'!$H$18*'Reel Strips'!$I$18*'Reel Strips'!$J$10*('Reel Strips'!$K$10+'Reel Strips'!$K$18)*(1-'Reel Strips'!$L$10-'Reel Strips'!$L$18)+'Reel Strips'!$H$18*'Reel Strips'!$I$18*'Reel Strips'!$J$18*'Reel Strips'!$K$10*(1-'Reel Strips'!$L$10-'Reel Strips'!$L$18)</f>
        <v/>
      </c>
      <c r="D18" s="12">
        <f>Paytable!H9</f>
        <v/>
      </c>
      <c r="E18" s="23">
        <f>C18*D18*10</f>
        <v/>
      </c>
      <c r="F18" s="24" t="n">
        <v>0.0005214214324951172</v>
      </c>
    </row>
    <row r="19">
      <c r="A19" s="6" t="inlineStr">
        <is>
          <t>Flask</t>
        </is>
      </c>
      <c r="B19" s="18" t="n">
        <v>5</v>
      </c>
      <c r="C19" s="22">
        <f>'Reel Strips'!$H$10*('Reel Strips'!$I$10+'Reel Strips'!$I$18)*('Reel Strips'!$J$10+'Reel Strips'!$J$18)*('Reel Strips'!$K$10+'Reel Strips'!$K$18)*('Reel Strips'!$L$10+'Reel Strips'!$L$18)+'Reel Strips'!$H$18*'Reel Strips'!$I$10*('Reel Strips'!$J$10+'Reel Strips'!$J$18)*('Reel Strips'!$K$10+'Reel Strips'!$K$18)*('Reel Strips'!$L$10+'Reel Strips'!$L$18)+'Reel Strips'!$H$18*'Reel Strips'!$I$18*'Reel Strips'!$J$10*('Reel Strips'!$K$10+'Reel Strips'!$K$18)*('Reel Strips'!$L$10+'Reel Strips'!$L$18)+'Reel Strips'!$H$18*'Reel Strips'!$I$18*'Reel Strips'!$J$18*'Reel Strips'!$K$10*('Reel Strips'!$L$10+'Reel Strips'!$L$18)+'Reel Strips'!$H$18*'Reel Strips'!$I$18*'Reel Strips'!$J$18*'Reel Strips'!$K$18*'Reel Strips'!$L$10</f>
        <v/>
      </c>
      <c r="D19" s="12">
        <f>Paytable!I9</f>
        <v/>
      </c>
      <c r="E19" s="23">
        <f>C19*D19*10</f>
        <v/>
      </c>
      <c r="F19" s="24" t="n">
        <v>9.655952453613281e-05</v>
      </c>
    </row>
    <row r="20">
      <c r="A20" s="6" t="inlineStr">
        <is>
          <t>Catapult</t>
        </is>
      </c>
      <c r="B20" s="18" t="n">
        <v>3</v>
      </c>
      <c r="C20" s="22">
        <f>'Reel Strips'!$H$11*('Reel Strips'!$I$11+'Reel Strips'!$I$18)*('Reel Strips'!$J$11+'Reel Strips'!$J$18)*(1-'Reel Strips'!$K$11-'Reel Strips'!$K$18)+'Reel Strips'!$H$18*'Reel Strips'!$I$11*('Reel Strips'!$J$11+'Reel Strips'!$J$18)*(1-'Reel Strips'!$K$11-'Reel Strips'!$K$18)+'Reel Strips'!$H$18*'Reel Strips'!$I$18*'Reel Strips'!$J$11*(1-'Reel Strips'!$K$11-'Reel Strips'!$K$18)</f>
        <v/>
      </c>
      <c r="D20" s="12">
        <f>Paytable!G10</f>
        <v/>
      </c>
      <c r="E20" s="23">
        <f>C20*D20*10</f>
        <v/>
      </c>
      <c r="F20" s="24" t="n">
        <v>0.001931190490722656</v>
      </c>
    </row>
    <row r="21">
      <c r="A21" s="6" t="inlineStr">
        <is>
          <t>Catapult</t>
        </is>
      </c>
      <c r="B21" s="18" t="n">
        <v>4</v>
      </c>
      <c r="C21" s="22">
        <f>'Reel Strips'!$H$11*('Reel Strips'!$I$11+'Reel Strips'!$I$18)*('Reel Strips'!$J$11+'Reel Strips'!$J$18)*('Reel Strips'!$K$11+'Reel Strips'!$K$18)*(1-'Reel Strips'!$L$11-'Reel Strips'!$L$18)+'Reel Strips'!$H$18*'Reel Strips'!$I$11*('Reel Strips'!$J$11+'Reel Strips'!$J$18)*('Reel Strips'!$K$11+'Reel Strips'!$K$18)*(1-'Reel Strips'!$L$11-'Reel Strips'!$L$18)+'Reel Strips'!$H$18*'Reel Strips'!$I$18*'Reel Strips'!$J$11*('Reel Strips'!$K$11+'Reel Strips'!$K$18)*(1-'Reel Strips'!$L$11-'Reel Strips'!$L$18)+'Reel Strips'!$H$18*'Reel Strips'!$I$18*'Reel Strips'!$J$18*'Reel Strips'!$K$11*(1-'Reel Strips'!$L$11-'Reel Strips'!$L$18)</f>
        <v/>
      </c>
      <c r="D21" s="12">
        <f>Paytable!H10</f>
        <v/>
      </c>
      <c r="E21" s="23">
        <f>C21*D21*10</f>
        <v/>
      </c>
      <c r="F21" s="24" t="n">
        <v>0.000301748514175415</v>
      </c>
    </row>
    <row r="22">
      <c r="A22" s="6" t="inlineStr">
        <is>
          <t>Catapult</t>
        </is>
      </c>
      <c r="B22" s="18" t="n">
        <v>5</v>
      </c>
      <c r="C22" s="22">
        <f>'Reel Strips'!$H$11*('Reel Strips'!$I$11+'Reel Strips'!$I$18)*('Reel Strips'!$J$11+'Reel Strips'!$J$18)*('Reel Strips'!$K$11+'Reel Strips'!$K$18)*('Reel Strips'!$L$11+'Reel Strips'!$L$18)+'Reel Strips'!$H$18*'Reel Strips'!$I$11*('Reel Strips'!$J$11+'Reel Strips'!$J$18)*('Reel Strips'!$K$11+'Reel Strips'!$K$18)*('Reel Strips'!$L$11+'Reel Strips'!$L$18)+'Reel Strips'!$H$18*'Reel Strips'!$I$18*'Reel Strips'!$J$11*('Reel Strips'!$K$11+'Reel Strips'!$K$18)*('Reel Strips'!$L$11+'Reel Strips'!$L$18)+'Reel Strips'!$H$18*'Reel Strips'!$I$18*'Reel Strips'!$J$18*'Reel Strips'!$K$11*('Reel Strips'!$L$11+'Reel Strips'!$L$18)+'Reel Strips'!$H$18*'Reel Strips'!$I$18*'Reel Strips'!$J$18*'Reel Strips'!$K$18*'Reel Strips'!$L$11</f>
        <v/>
      </c>
      <c r="D22" s="12">
        <f>Paytable!I10</f>
        <v/>
      </c>
      <c r="E22" s="23">
        <f>C22*D22*10</f>
        <v/>
      </c>
      <c r="F22" s="24" t="n">
        <v>5.587935447692871e-05</v>
      </c>
    </row>
    <row r="23">
      <c r="A23" s="6" t="inlineStr">
        <is>
          <t>Landing Net</t>
        </is>
      </c>
      <c r="B23" s="18" t="n">
        <v>3</v>
      </c>
      <c r="C23" s="22">
        <f>'Reel Strips'!$H$12*('Reel Strips'!$I$12+'Reel Strips'!$I$18)*('Reel Strips'!$J$12+'Reel Strips'!$J$18)*(1-'Reel Strips'!$K$12-'Reel Strips'!$K$18)+'Reel Strips'!$H$18*'Reel Strips'!$I$12*('Reel Strips'!$J$12+'Reel Strips'!$J$18)*(1-'Reel Strips'!$K$12-'Reel Strips'!$K$18)+'Reel Strips'!$H$18*'Reel Strips'!$I$18*'Reel Strips'!$J$12*(1-'Reel Strips'!$K$12-'Reel Strips'!$K$18)</f>
        <v/>
      </c>
      <c r="D23" s="12">
        <f>Paytable!G11</f>
        <v/>
      </c>
      <c r="E23" s="23">
        <f>C23*D23*10</f>
        <v/>
      </c>
      <c r="F23" s="24" t="n">
        <v>0.001287460327148438</v>
      </c>
    </row>
    <row r="24">
      <c r="A24" s="6" t="inlineStr">
        <is>
          <t>Landing Net</t>
        </is>
      </c>
      <c r="B24" s="18" t="n">
        <v>4</v>
      </c>
      <c r="C24" s="22">
        <f>'Reel Strips'!$H$12*('Reel Strips'!$I$12+'Reel Strips'!$I$18)*('Reel Strips'!$J$12+'Reel Strips'!$J$18)*('Reel Strips'!$K$12+'Reel Strips'!$K$18)*(1-'Reel Strips'!$L$12-'Reel Strips'!$L$18)+'Reel Strips'!$H$18*'Reel Strips'!$I$12*('Reel Strips'!$J$12+'Reel Strips'!$J$18)*('Reel Strips'!$K$12+'Reel Strips'!$K$18)*(1-'Reel Strips'!$L$12-'Reel Strips'!$L$18)+'Reel Strips'!$H$18*'Reel Strips'!$I$18*'Reel Strips'!$J$12*('Reel Strips'!$K$12+'Reel Strips'!$K$18)*(1-'Reel Strips'!$L$12-'Reel Strips'!$L$18)+'Reel Strips'!$H$18*'Reel Strips'!$I$18*'Reel Strips'!$J$18*'Reel Strips'!$K$12*(1-'Reel Strips'!$L$12-'Reel Strips'!$L$18)</f>
        <v/>
      </c>
      <c r="D24" s="12">
        <f>Paytable!H11</f>
        <v/>
      </c>
      <c r="E24" s="23">
        <f>C24*D24*10</f>
        <v/>
      </c>
      <c r="F24" s="24" t="n">
        <v>0.0002086162567138672</v>
      </c>
    </row>
    <row r="25">
      <c r="A25" s="6" t="inlineStr">
        <is>
          <t>Landing Net</t>
        </is>
      </c>
      <c r="B25" s="18" t="n">
        <v>5</v>
      </c>
      <c r="C25" s="22">
        <f>'Reel Strips'!$H$12*('Reel Strips'!$I$12+'Reel Strips'!$I$18)*('Reel Strips'!$J$12+'Reel Strips'!$J$18)*('Reel Strips'!$K$12+'Reel Strips'!$K$18)*('Reel Strips'!$L$12+'Reel Strips'!$L$18)+'Reel Strips'!$H$18*'Reel Strips'!$I$12*('Reel Strips'!$J$12+'Reel Strips'!$J$18)*('Reel Strips'!$K$12+'Reel Strips'!$K$18)*('Reel Strips'!$L$12+'Reel Strips'!$L$18)+'Reel Strips'!$H$18*'Reel Strips'!$I$18*'Reel Strips'!$J$12*('Reel Strips'!$K$12+'Reel Strips'!$K$18)*('Reel Strips'!$L$12+'Reel Strips'!$L$18)+'Reel Strips'!$H$18*'Reel Strips'!$I$18*'Reel Strips'!$J$18*'Reel Strips'!$K$12*('Reel Strips'!$L$12+'Reel Strips'!$L$18)+'Reel Strips'!$H$18*'Reel Strips'!$I$18*'Reel Strips'!$J$18*'Reel Strips'!$K$18*'Reel Strips'!$L$12</f>
        <v/>
      </c>
      <c r="D25" s="12">
        <f>Paytable!I11</f>
        <v/>
      </c>
      <c r="E25" s="23">
        <f>C25*D25*10</f>
        <v/>
      </c>
      <c r="F25" s="24" t="n">
        <v>2.980232238769531e-05</v>
      </c>
    </row>
    <row r="26">
      <c r="A26" s="6" t="inlineStr">
        <is>
          <t>Bivvy</t>
        </is>
      </c>
      <c r="B26" s="18" t="n">
        <v>3</v>
      </c>
      <c r="C26" s="22">
        <f>'Reel Strips'!$H$13*('Reel Strips'!$I$13+'Reel Strips'!$I$18)*('Reel Strips'!$J$13+'Reel Strips'!$J$18)*(1-'Reel Strips'!$K$13-'Reel Strips'!$K$18)+'Reel Strips'!$H$18*'Reel Strips'!$I$13*('Reel Strips'!$J$13+'Reel Strips'!$J$18)*(1-'Reel Strips'!$K$13-'Reel Strips'!$K$18)+'Reel Strips'!$H$18*'Reel Strips'!$I$18*'Reel Strips'!$J$13*(1-'Reel Strips'!$K$13-'Reel Strips'!$K$18)</f>
        <v/>
      </c>
      <c r="D26" s="12">
        <f>Paytable!G12</f>
        <v/>
      </c>
      <c r="E26" s="23">
        <f>C26*D26*10</f>
        <v/>
      </c>
      <c r="F26" s="24" t="n">
        <v>0.001287460327148438</v>
      </c>
    </row>
    <row r="27">
      <c r="A27" s="6" t="inlineStr">
        <is>
          <t>Bivvy</t>
        </is>
      </c>
      <c r="B27" s="18" t="n">
        <v>4</v>
      </c>
      <c r="C27" s="22">
        <f>'Reel Strips'!$H$13*('Reel Strips'!$I$13+'Reel Strips'!$I$18)*('Reel Strips'!$J$13+'Reel Strips'!$J$18)*('Reel Strips'!$K$13+'Reel Strips'!$K$18)*(1-'Reel Strips'!$L$13-'Reel Strips'!$L$18)+'Reel Strips'!$H$18*'Reel Strips'!$I$13*('Reel Strips'!$J$13+'Reel Strips'!$J$18)*('Reel Strips'!$K$13+'Reel Strips'!$K$18)*(1-'Reel Strips'!$L$13-'Reel Strips'!$L$18)+'Reel Strips'!$H$18*'Reel Strips'!$I$18*'Reel Strips'!$J$13*('Reel Strips'!$K$13+'Reel Strips'!$K$18)*(1-'Reel Strips'!$L$13-'Reel Strips'!$L$18)+'Reel Strips'!$H$18*'Reel Strips'!$I$18*'Reel Strips'!$J$18*'Reel Strips'!$K$13*(1-'Reel Strips'!$L$13-'Reel Strips'!$L$18)</f>
        <v/>
      </c>
      <c r="D27" s="12">
        <f>Paytable!H12</f>
        <v/>
      </c>
      <c r="E27" s="23">
        <f>C27*D27*10</f>
        <v/>
      </c>
      <c r="F27" s="24" t="n">
        <v>0.0002086162567138672</v>
      </c>
    </row>
    <row r="28">
      <c r="A28" s="6" t="inlineStr">
        <is>
          <t>Bivvy</t>
        </is>
      </c>
      <c r="B28" s="18" t="n">
        <v>5</v>
      </c>
      <c r="C28" s="22">
        <f>'Reel Strips'!$H$13*('Reel Strips'!$I$13+'Reel Strips'!$I$18)*('Reel Strips'!$J$13+'Reel Strips'!$J$18)*('Reel Strips'!$K$13+'Reel Strips'!$K$18)*('Reel Strips'!$L$13+'Reel Strips'!$L$18)+'Reel Strips'!$H$18*'Reel Strips'!$I$13*('Reel Strips'!$J$13+'Reel Strips'!$J$18)*('Reel Strips'!$K$13+'Reel Strips'!$K$18)*('Reel Strips'!$L$13+'Reel Strips'!$L$18)+'Reel Strips'!$H$18*'Reel Strips'!$I$18*'Reel Strips'!$J$13*('Reel Strips'!$K$13+'Reel Strips'!$K$18)*('Reel Strips'!$L$13+'Reel Strips'!$L$18)+'Reel Strips'!$H$18*'Reel Strips'!$I$18*'Reel Strips'!$J$18*'Reel Strips'!$K$13*('Reel Strips'!$L$13+'Reel Strips'!$L$18)+'Reel Strips'!$H$18*'Reel Strips'!$I$18*'Reel Strips'!$J$18*'Reel Strips'!$K$18*'Reel Strips'!$L$13</f>
        <v/>
      </c>
      <c r="D28" s="12">
        <f>Paytable!I12</f>
        <v/>
      </c>
      <c r="E28" s="23">
        <f>C28*D28*10</f>
        <v/>
      </c>
      <c r="F28" s="24" t="n">
        <v>2.980232238769531e-05</v>
      </c>
    </row>
    <row r="29">
      <c r="A29" s="6" t="inlineStr">
        <is>
          <t>Roach</t>
        </is>
      </c>
      <c r="B29" s="18" t="n">
        <v>3</v>
      </c>
      <c r="C29" s="22">
        <f>'Reel Strips'!$H$14*('Reel Strips'!$I$14+'Reel Strips'!$I$18)*('Reel Strips'!$J$14+'Reel Strips'!$J$18)*(1-'Reel Strips'!$K$14-'Reel Strips'!$K$18)+'Reel Strips'!$H$18*'Reel Strips'!$I$14*('Reel Strips'!$J$14+'Reel Strips'!$J$18)*(1-'Reel Strips'!$K$14-'Reel Strips'!$K$18)+'Reel Strips'!$H$18*'Reel Strips'!$I$18*'Reel Strips'!$J$14*(1-'Reel Strips'!$K$14-'Reel Strips'!$K$18)</f>
        <v/>
      </c>
      <c r="D29" s="12">
        <f>Paytable!G13</f>
        <v/>
      </c>
      <c r="E29" s="23">
        <f>C29*D29*10</f>
        <v/>
      </c>
      <c r="F29" s="24" t="n">
        <v>0.00042724609375</v>
      </c>
    </row>
    <row r="30">
      <c r="A30" s="6" t="inlineStr">
        <is>
          <t>Roach</t>
        </is>
      </c>
      <c r="B30" s="18" t="n">
        <v>4</v>
      </c>
      <c r="C30" s="22">
        <f>'Reel Strips'!$H$14*('Reel Strips'!$I$14+'Reel Strips'!$I$18)*('Reel Strips'!$J$14+'Reel Strips'!$J$18)*('Reel Strips'!$K$14+'Reel Strips'!$K$18)*(1-'Reel Strips'!$L$14-'Reel Strips'!$L$18)+'Reel Strips'!$H$18*'Reel Strips'!$I$14*('Reel Strips'!$J$14+'Reel Strips'!$J$18)*('Reel Strips'!$K$14+'Reel Strips'!$K$18)*(1-'Reel Strips'!$L$14-'Reel Strips'!$L$18)+'Reel Strips'!$H$18*'Reel Strips'!$I$18*'Reel Strips'!$J$14*('Reel Strips'!$K$14+'Reel Strips'!$K$18)*(1-'Reel Strips'!$L$14-'Reel Strips'!$L$18)+'Reel Strips'!$H$18*'Reel Strips'!$I$18*'Reel Strips'!$J$18*'Reel Strips'!$K$14*(1-'Reel Strips'!$L$14-'Reel Strips'!$L$18)</f>
        <v/>
      </c>
      <c r="D30" s="12">
        <f>Paytable!H13</f>
        <v/>
      </c>
      <c r="E30" s="23">
        <f>C30*D30*10</f>
        <v/>
      </c>
      <c r="F30" s="24" t="n">
        <v>5.53131103515625e-05</v>
      </c>
    </row>
    <row r="31">
      <c r="A31" s="6" t="inlineStr">
        <is>
          <t>Roach</t>
        </is>
      </c>
      <c r="B31" s="18" t="n">
        <v>5</v>
      </c>
      <c r="C31" s="22">
        <f>'Reel Strips'!$H$14*('Reel Strips'!$I$14+'Reel Strips'!$I$18)*('Reel Strips'!$J$14+'Reel Strips'!$J$18)*('Reel Strips'!$K$14+'Reel Strips'!$K$18)*('Reel Strips'!$L$14+'Reel Strips'!$L$18)+'Reel Strips'!$H$18*'Reel Strips'!$I$14*('Reel Strips'!$J$14+'Reel Strips'!$J$18)*('Reel Strips'!$K$14+'Reel Strips'!$K$18)*('Reel Strips'!$L$14+'Reel Strips'!$L$18)+'Reel Strips'!$H$18*'Reel Strips'!$I$18*'Reel Strips'!$J$14*('Reel Strips'!$K$14+'Reel Strips'!$K$18)*('Reel Strips'!$L$14+'Reel Strips'!$L$18)+'Reel Strips'!$H$18*'Reel Strips'!$I$18*'Reel Strips'!$J$18*'Reel Strips'!$K$14*('Reel Strips'!$L$14+'Reel Strips'!$L$18)+'Reel Strips'!$H$18*'Reel Strips'!$I$18*'Reel Strips'!$J$18*'Reel Strips'!$K$18*'Reel Strips'!$L$14</f>
        <v/>
      </c>
      <c r="D31" s="12">
        <f>Paytable!I13</f>
        <v/>
      </c>
      <c r="E31" s="23">
        <f>C31*D31*10</f>
        <v/>
      </c>
      <c r="F31" s="24" t="n">
        <v>5.7220458984375e-06</v>
      </c>
    </row>
    <row r="32">
      <c r="A32" s="6" t="inlineStr">
        <is>
          <t>Bream</t>
        </is>
      </c>
      <c r="B32" s="18" t="n">
        <v>3</v>
      </c>
      <c r="C32" s="22">
        <f>'Reel Strips'!$H$15*('Reel Strips'!$I$15+'Reel Strips'!$I$18)*('Reel Strips'!$J$15+'Reel Strips'!$J$18)*(1-'Reel Strips'!$K$15-'Reel Strips'!$K$18)+'Reel Strips'!$H$18*'Reel Strips'!$I$15*('Reel Strips'!$J$15+'Reel Strips'!$J$18)*(1-'Reel Strips'!$K$15-'Reel Strips'!$K$18)+'Reel Strips'!$H$18*'Reel Strips'!$I$18*'Reel Strips'!$J$15*(1-'Reel Strips'!$K$15-'Reel Strips'!$K$18)</f>
        <v/>
      </c>
      <c r="D32" s="12">
        <f>Paytable!G14</f>
        <v/>
      </c>
      <c r="E32" s="23">
        <f>C32*D32*10</f>
        <v/>
      </c>
      <c r="F32" s="24" t="n">
        <v>0.00042724609375</v>
      </c>
    </row>
    <row r="33">
      <c r="A33" s="6" t="inlineStr">
        <is>
          <t>Bream</t>
        </is>
      </c>
      <c r="B33" s="18" t="n">
        <v>4</v>
      </c>
      <c r="C33" s="22">
        <f>'Reel Strips'!$H$15*('Reel Strips'!$I$15+'Reel Strips'!$I$18)*('Reel Strips'!$J$15+'Reel Strips'!$J$18)*('Reel Strips'!$K$15+'Reel Strips'!$K$18)*(1-'Reel Strips'!$L$15-'Reel Strips'!$L$18)+'Reel Strips'!$H$18*'Reel Strips'!$I$15*('Reel Strips'!$J$15+'Reel Strips'!$J$18)*('Reel Strips'!$K$15+'Reel Strips'!$K$18)*(1-'Reel Strips'!$L$15-'Reel Strips'!$L$18)+'Reel Strips'!$H$18*'Reel Strips'!$I$18*'Reel Strips'!$J$15*('Reel Strips'!$K$15+'Reel Strips'!$K$18)*(1-'Reel Strips'!$L$15-'Reel Strips'!$L$18)+'Reel Strips'!$H$18*'Reel Strips'!$I$18*'Reel Strips'!$J$18*'Reel Strips'!$K$15*(1-'Reel Strips'!$L$15-'Reel Strips'!$L$18)</f>
        <v/>
      </c>
      <c r="D33" s="12">
        <f>Paytable!H14</f>
        <v/>
      </c>
      <c r="E33" s="23">
        <f>C33*D33*10</f>
        <v/>
      </c>
      <c r="F33" s="24" t="n">
        <v>5.53131103515625e-05</v>
      </c>
    </row>
    <row r="34">
      <c r="A34" s="6" t="inlineStr">
        <is>
          <t>Bream</t>
        </is>
      </c>
      <c r="B34" s="18" t="n">
        <v>5</v>
      </c>
      <c r="C34" s="22">
        <f>'Reel Strips'!$H$15*('Reel Strips'!$I$15+'Reel Strips'!$I$18)*('Reel Strips'!$J$15+'Reel Strips'!$J$18)*('Reel Strips'!$K$15+'Reel Strips'!$K$18)*('Reel Strips'!$L$15+'Reel Strips'!$L$18)+'Reel Strips'!$H$18*'Reel Strips'!$I$15*('Reel Strips'!$J$15+'Reel Strips'!$J$18)*('Reel Strips'!$K$15+'Reel Strips'!$K$18)*('Reel Strips'!$L$15+'Reel Strips'!$L$18)+'Reel Strips'!$H$18*'Reel Strips'!$I$18*'Reel Strips'!$J$15*('Reel Strips'!$K$15+'Reel Strips'!$K$18)*('Reel Strips'!$L$15+'Reel Strips'!$L$18)+'Reel Strips'!$H$18*'Reel Strips'!$I$18*'Reel Strips'!$J$18*'Reel Strips'!$K$15*('Reel Strips'!$L$15+'Reel Strips'!$L$18)+'Reel Strips'!$H$18*'Reel Strips'!$I$18*'Reel Strips'!$J$18*'Reel Strips'!$K$18*'Reel Strips'!$L$15</f>
        <v/>
      </c>
      <c r="D34" s="12">
        <f>Paytable!I14</f>
        <v/>
      </c>
      <c r="E34" s="23">
        <f>C34*D34*10</f>
        <v/>
      </c>
      <c r="F34" s="24" t="n">
        <v>5.7220458984375e-06</v>
      </c>
    </row>
    <row r="35">
      <c r="A35" s="6" t="inlineStr">
        <is>
          <t>Tench</t>
        </is>
      </c>
      <c r="B35" s="18" t="n">
        <v>3</v>
      </c>
      <c r="C35" s="22">
        <f>'Reel Strips'!$H$16*('Reel Strips'!$I$16+'Reel Strips'!$I$18)*('Reel Strips'!$J$16+'Reel Strips'!$J$18)*(1-'Reel Strips'!$K$16-'Reel Strips'!$K$18)+'Reel Strips'!$H$18*'Reel Strips'!$I$16*('Reel Strips'!$J$16+'Reel Strips'!$J$18)*(1-'Reel Strips'!$K$16-'Reel Strips'!$K$18)+'Reel Strips'!$H$18*'Reel Strips'!$I$18*'Reel Strips'!$J$16*(1-'Reel Strips'!$K$16-'Reel Strips'!$K$18)</f>
        <v/>
      </c>
      <c r="D35" s="12">
        <f>Paytable!G15</f>
        <v/>
      </c>
      <c r="E35" s="23">
        <f>C35*D35*10</f>
        <v/>
      </c>
      <c r="F35" s="24" t="n">
        <v>0.00042724609375</v>
      </c>
    </row>
    <row r="36">
      <c r="A36" s="6" t="inlineStr">
        <is>
          <t>Tench</t>
        </is>
      </c>
      <c r="B36" s="18" t="n">
        <v>4</v>
      </c>
      <c r="C36" s="22">
        <f>'Reel Strips'!$H$16*('Reel Strips'!$I$16+'Reel Strips'!$I$18)*('Reel Strips'!$J$16+'Reel Strips'!$J$18)*('Reel Strips'!$K$16+'Reel Strips'!$K$18)*(1-'Reel Strips'!$L$16-'Reel Strips'!$L$18)+'Reel Strips'!$H$18*'Reel Strips'!$I$16*('Reel Strips'!$J$16+'Reel Strips'!$J$18)*('Reel Strips'!$K$16+'Reel Strips'!$K$18)*(1-'Reel Strips'!$L$16-'Reel Strips'!$L$18)+'Reel Strips'!$H$18*'Reel Strips'!$I$18*'Reel Strips'!$J$16*('Reel Strips'!$K$16+'Reel Strips'!$K$18)*(1-'Reel Strips'!$L$16-'Reel Strips'!$L$18)+'Reel Strips'!$H$18*'Reel Strips'!$I$18*'Reel Strips'!$J$18*'Reel Strips'!$K$16*(1-'Reel Strips'!$L$16-'Reel Strips'!$L$18)</f>
        <v/>
      </c>
      <c r="D36" s="12">
        <f>Paytable!H15</f>
        <v/>
      </c>
      <c r="E36" s="23">
        <f>C36*D36*10</f>
        <v/>
      </c>
      <c r="F36" s="24" t="n">
        <v>5.53131103515625e-05</v>
      </c>
    </row>
    <row r="37">
      <c r="A37" s="6" t="inlineStr">
        <is>
          <t>Tench</t>
        </is>
      </c>
      <c r="B37" s="18" t="n">
        <v>5</v>
      </c>
      <c r="C37" s="22">
        <f>'Reel Strips'!$H$16*('Reel Strips'!$I$16+'Reel Strips'!$I$18)*('Reel Strips'!$J$16+'Reel Strips'!$J$18)*('Reel Strips'!$K$16+'Reel Strips'!$K$18)*('Reel Strips'!$L$16+'Reel Strips'!$L$18)+'Reel Strips'!$H$18*'Reel Strips'!$I$16*('Reel Strips'!$J$16+'Reel Strips'!$J$18)*('Reel Strips'!$K$16+'Reel Strips'!$K$18)*('Reel Strips'!$L$16+'Reel Strips'!$L$18)+'Reel Strips'!$H$18*'Reel Strips'!$I$18*'Reel Strips'!$J$16*('Reel Strips'!$K$16+'Reel Strips'!$K$18)*('Reel Strips'!$L$16+'Reel Strips'!$L$18)+'Reel Strips'!$H$18*'Reel Strips'!$I$18*'Reel Strips'!$J$18*'Reel Strips'!$K$16*('Reel Strips'!$L$16+'Reel Strips'!$L$18)+'Reel Strips'!$H$18*'Reel Strips'!$I$18*'Reel Strips'!$J$18*'Reel Strips'!$K$18*'Reel Strips'!$L$16</f>
        <v/>
      </c>
      <c r="D37" s="12">
        <f>Paytable!I15</f>
        <v/>
      </c>
      <c r="E37" s="23">
        <f>C37*D37*10</f>
        <v/>
      </c>
      <c r="F37" s="24" t="n">
        <v>5.7220458984375e-06</v>
      </c>
    </row>
    <row r="38">
      <c r="A38" s="6" t="inlineStr">
        <is>
          <t>Mirror Carp</t>
        </is>
      </c>
      <c r="B38" s="18" t="n">
        <v>3</v>
      </c>
      <c r="C38" s="22">
        <f>'Reel Strips'!$H$17*('Reel Strips'!$I$17+'Reel Strips'!$I$18)*('Reel Strips'!$J$17+'Reel Strips'!$J$18)*(1-'Reel Strips'!$K$17-'Reel Strips'!$K$18)+'Reel Strips'!$H$18*'Reel Strips'!$I$17*('Reel Strips'!$J$17+'Reel Strips'!$J$18)*(1-'Reel Strips'!$K$17-'Reel Strips'!$K$18)+'Reel Strips'!$H$18*'Reel Strips'!$I$18*'Reel Strips'!$J$17*(1-'Reel Strips'!$K$17-'Reel Strips'!$K$18)</f>
        <v/>
      </c>
      <c r="D38" s="12">
        <f>Paytable!G16</f>
        <v/>
      </c>
      <c r="E38" s="23">
        <f>C38*D38*10</f>
        <v/>
      </c>
      <c r="F38" s="24" t="n">
        <v>0.00042724609375</v>
      </c>
    </row>
    <row r="39">
      <c r="A39" s="6" t="inlineStr">
        <is>
          <t>Mirror Carp</t>
        </is>
      </c>
      <c r="B39" s="18" t="n">
        <v>4</v>
      </c>
      <c r="C39" s="22">
        <f>'Reel Strips'!$H$17*('Reel Strips'!$I$17+'Reel Strips'!$I$18)*('Reel Strips'!$J$17+'Reel Strips'!$J$18)*('Reel Strips'!$K$17+'Reel Strips'!$K$18)*(1-'Reel Strips'!$L$17-'Reel Strips'!$L$18)+'Reel Strips'!$H$18*'Reel Strips'!$I$17*('Reel Strips'!$J$17+'Reel Strips'!$J$18)*('Reel Strips'!$K$17+'Reel Strips'!$K$18)*(1-'Reel Strips'!$L$17-'Reel Strips'!$L$18)+'Reel Strips'!$H$18*'Reel Strips'!$I$18*'Reel Strips'!$J$17*('Reel Strips'!$K$17+'Reel Strips'!$K$18)*(1-'Reel Strips'!$L$17-'Reel Strips'!$L$18)+'Reel Strips'!$H$18*'Reel Strips'!$I$18*'Reel Strips'!$J$18*'Reel Strips'!$K$17*(1-'Reel Strips'!$L$17-'Reel Strips'!$L$18)</f>
        <v/>
      </c>
      <c r="D39" s="12">
        <f>Paytable!H16</f>
        <v/>
      </c>
      <c r="E39" s="23">
        <f>C39*D39*10</f>
        <v/>
      </c>
      <c r="F39" s="24" t="n">
        <v>5.53131103515625e-05</v>
      </c>
    </row>
    <row r="40">
      <c r="A40" s="6" t="inlineStr">
        <is>
          <t>Mirror Carp</t>
        </is>
      </c>
      <c r="B40" s="18" t="n">
        <v>5</v>
      </c>
      <c r="C40" s="22">
        <f>'Reel Strips'!$H$17*('Reel Strips'!$I$17+'Reel Strips'!$I$18)*('Reel Strips'!$J$17+'Reel Strips'!$J$18)*('Reel Strips'!$K$17+'Reel Strips'!$K$18)*('Reel Strips'!$L$17+'Reel Strips'!$L$18)+'Reel Strips'!$H$18*'Reel Strips'!$I$17*('Reel Strips'!$J$17+'Reel Strips'!$J$18)*('Reel Strips'!$K$17+'Reel Strips'!$K$18)*('Reel Strips'!$L$17+'Reel Strips'!$L$18)+'Reel Strips'!$H$18*'Reel Strips'!$I$18*'Reel Strips'!$J$17*('Reel Strips'!$K$17+'Reel Strips'!$K$18)*('Reel Strips'!$L$17+'Reel Strips'!$L$18)+'Reel Strips'!$H$18*'Reel Strips'!$I$18*'Reel Strips'!$J$18*'Reel Strips'!$K$17*('Reel Strips'!$L$17+'Reel Strips'!$L$18)+'Reel Strips'!$H$18*'Reel Strips'!$I$18*'Reel Strips'!$J$18*'Reel Strips'!$K$18*'Reel Strips'!$L$17+'Reel Strips'!$H$18*'Reel Strips'!$I$18*'Reel Strips'!$J$18*'Reel Strips'!$K$18*'Reel Strips'!$L$18</f>
        <v/>
      </c>
      <c r="D40" s="12">
        <f>Paytable!I16</f>
        <v/>
      </c>
      <c r="E40" s="23">
        <f>C40*D40*10</f>
        <v/>
      </c>
      <c r="F40" s="24" t="n">
        <v>5.7220458984375e-06</v>
      </c>
    </row>
    <row r="41">
      <c r="A41" s="4" t="inlineStr">
        <is>
          <t>Total line RTP</t>
        </is>
      </c>
      <c r="E41" s="25">
        <f>SUM(E5:E40)</f>
        <v/>
      </c>
    </row>
    <row r="42">
      <c r="A42" s="6" t="inlineStr">
        <is>
          <t>Max difference vs engine exact (should be ~0)</t>
        </is>
      </c>
      <c r="C42" s="26">
        <f>SUMPRODUCT(ABS(C5:C40-F5:F40))</f>
        <v/>
      </c>
    </row>
    <row r="44">
      <c r="A44" s="2" t="inlineStr">
        <is>
          <t>Column F: same probability computed independently by math/par_sheet.mjs from the engine rules (cross-check).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  <col width="13" customWidth="1" min="4" max="4"/>
    <col width="16" customWidth="1" min="5" max="5"/>
    <col width="18" customWidth="1" min="6" max="6"/>
  </cols>
  <sheetData>
    <row r="1">
      <c r="A1" s="1" t="inlineStr">
        <is>
          <t>Line Wins Free Spins: exact probability per payline</t>
        </is>
      </c>
    </row>
    <row r="2">
      <c r="A2" s="2" t="inlineStr">
        <is>
          <t>Formula: the first non-wild symbol on the line is the target; wilds before/after it count; the next symbol must break the run. Probabilities come from Reel Strips; RTP contribution = probability x pay (x stake) x 10 lines.</t>
        </is>
      </c>
    </row>
    <row r="4">
      <c r="A4" s="3" t="inlineStr">
        <is>
          <t>Symbol</t>
        </is>
      </c>
      <c r="B4" s="3" t="inlineStr">
        <is>
          <t>Count</t>
        </is>
      </c>
      <c r="C4" s="3" t="inlineStr">
        <is>
          <t>P (per line)</t>
        </is>
      </c>
      <c r="D4" s="3" t="inlineStr">
        <is>
          <t>Pay (x stake)</t>
        </is>
      </c>
      <c r="E4" s="3" t="inlineStr">
        <is>
          <t>RTP contribution</t>
        </is>
      </c>
      <c r="F4" s="3" t="inlineStr">
        <is>
          <t>Check: engine exact</t>
        </is>
      </c>
    </row>
    <row r="5">
      <c r="A5" s="6" t="inlineStr">
        <is>
          <t>Float</t>
        </is>
      </c>
      <c r="B5" s="18" t="n">
        <v>3</v>
      </c>
      <c r="C5" s="22">
        <f>'Reel Strips'!$H$25*('Reel Strips'!$I$25+'Reel Strips'!$I$37)*('Reel Strips'!$J$25+'Reel Strips'!$J$37)*(1-'Reel Strips'!$K$25-'Reel Strips'!$K$37)+'Reel Strips'!$H$37*'Reel Strips'!$I$25*('Reel Strips'!$J$25+'Reel Strips'!$J$37)*(1-'Reel Strips'!$K$25-'Reel Strips'!$K$37)+'Reel Strips'!$H$37*'Reel Strips'!$I$37*'Reel Strips'!$J$25*(1-'Reel Strips'!$K$25-'Reel Strips'!$K$37)</f>
        <v/>
      </c>
      <c r="D5" s="12">
        <f>Paytable!G5</f>
        <v/>
      </c>
      <c r="E5" s="23">
        <f>C5*D5*10</f>
        <v/>
      </c>
      <c r="F5" s="24" t="n">
        <v>0.001931190490722656</v>
      </c>
    </row>
    <row r="6">
      <c r="A6" s="6" t="inlineStr">
        <is>
          <t>Float</t>
        </is>
      </c>
      <c r="B6" s="18" t="n">
        <v>4</v>
      </c>
      <c r="C6" s="22">
        <f>'Reel Strips'!$H$25*('Reel Strips'!$I$25+'Reel Strips'!$I$37)*('Reel Strips'!$J$25+'Reel Strips'!$J$37)*('Reel Strips'!$K$25+'Reel Strips'!$K$37)*(1-'Reel Strips'!$L$25-'Reel Strips'!$L$37)+'Reel Strips'!$H$37*'Reel Strips'!$I$25*('Reel Strips'!$J$25+'Reel Strips'!$J$37)*('Reel Strips'!$K$25+'Reel Strips'!$K$37)*(1-'Reel Strips'!$L$25-'Reel Strips'!$L$37)+'Reel Strips'!$H$37*'Reel Strips'!$I$37*'Reel Strips'!$J$25*('Reel Strips'!$K$25+'Reel Strips'!$K$37)*(1-'Reel Strips'!$L$25-'Reel Strips'!$L$37)+'Reel Strips'!$H$37*'Reel Strips'!$I$37*'Reel Strips'!$J$37*'Reel Strips'!$K$25*(1-'Reel Strips'!$L$25-'Reel Strips'!$L$37)</f>
        <v/>
      </c>
      <c r="D6" s="12">
        <f>Paytable!H5</f>
        <v/>
      </c>
      <c r="E6" s="23">
        <f>C6*D6*10</f>
        <v/>
      </c>
      <c r="F6" s="24" t="n">
        <v>0.000301748514175415</v>
      </c>
    </row>
    <row r="7">
      <c r="A7" s="6" t="inlineStr">
        <is>
          <t>Float</t>
        </is>
      </c>
      <c r="B7" s="18" t="n">
        <v>5</v>
      </c>
      <c r="C7" s="22">
        <f>'Reel Strips'!$H$25*('Reel Strips'!$I$25+'Reel Strips'!$I$37)*('Reel Strips'!$J$25+'Reel Strips'!$J$37)*('Reel Strips'!$K$25+'Reel Strips'!$K$37)*('Reel Strips'!$L$25+'Reel Strips'!$L$37)+'Reel Strips'!$H$37*'Reel Strips'!$I$25*('Reel Strips'!$J$25+'Reel Strips'!$J$37)*('Reel Strips'!$K$25+'Reel Strips'!$K$37)*('Reel Strips'!$L$25+'Reel Strips'!$L$37)+'Reel Strips'!$H$37*'Reel Strips'!$I$37*'Reel Strips'!$J$25*('Reel Strips'!$K$25+'Reel Strips'!$K$37)*('Reel Strips'!$L$25+'Reel Strips'!$L$37)+'Reel Strips'!$H$37*'Reel Strips'!$I$37*'Reel Strips'!$J$37*'Reel Strips'!$K$25*('Reel Strips'!$L$25+'Reel Strips'!$L$37)+'Reel Strips'!$H$37*'Reel Strips'!$I$37*'Reel Strips'!$J$37*'Reel Strips'!$K$37*'Reel Strips'!$L$25</f>
        <v/>
      </c>
      <c r="D7" s="12">
        <f>Paytable!I5</f>
        <v/>
      </c>
      <c r="E7" s="23">
        <f>C7*D7*10</f>
        <v/>
      </c>
      <c r="F7" s="24" t="n">
        <v>5.587935447692871e-05</v>
      </c>
    </row>
    <row r="8">
      <c r="A8" s="6" t="inlineStr">
        <is>
          <t>Boilies</t>
        </is>
      </c>
      <c r="B8" s="18" t="n">
        <v>3</v>
      </c>
      <c r="C8" s="22">
        <f>'Reel Strips'!$H$26*('Reel Strips'!$I$26+'Reel Strips'!$I$37)*('Reel Strips'!$J$26+'Reel Strips'!$J$37)*(1-'Reel Strips'!$K$26-'Reel Strips'!$K$37)+'Reel Strips'!$H$37*'Reel Strips'!$I$26*('Reel Strips'!$J$26+'Reel Strips'!$J$37)*(1-'Reel Strips'!$K$26-'Reel Strips'!$K$37)+'Reel Strips'!$H$37*'Reel Strips'!$I$37*'Reel Strips'!$J$26*(1-'Reel Strips'!$K$26-'Reel Strips'!$K$37)</f>
        <v/>
      </c>
      <c r="D8" s="12">
        <f>Paytable!G6</f>
        <v/>
      </c>
      <c r="E8" s="23">
        <f>C8*D8*10</f>
        <v/>
      </c>
      <c r="F8" s="24" t="n">
        <v>0.003570556640625</v>
      </c>
    </row>
    <row r="9">
      <c r="A9" s="6" t="inlineStr">
        <is>
          <t>Boilies</t>
        </is>
      </c>
      <c r="B9" s="18" t="n">
        <v>4</v>
      </c>
      <c r="C9" s="22">
        <f>'Reel Strips'!$H$26*('Reel Strips'!$I$26+'Reel Strips'!$I$37)*('Reel Strips'!$J$26+'Reel Strips'!$J$37)*('Reel Strips'!$K$26+'Reel Strips'!$K$37)*(1-'Reel Strips'!$L$26-'Reel Strips'!$L$37)+'Reel Strips'!$H$37*'Reel Strips'!$I$26*('Reel Strips'!$J$26+'Reel Strips'!$J$37)*('Reel Strips'!$K$26+'Reel Strips'!$K$37)*(1-'Reel Strips'!$L$26-'Reel Strips'!$L$37)+'Reel Strips'!$H$37*'Reel Strips'!$I$37*'Reel Strips'!$J$26*('Reel Strips'!$K$26+'Reel Strips'!$K$37)*(1-'Reel Strips'!$L$26-'Reel Strips'!$L$37)+'Reel Strips'!$H$37*'Reel Strips'!$I$37*'Reel Strips'!$J$37*'Reel Strips'!$K$26*(1-'Reel Strips'!$L$26-'Reel Strips'!$L$37)</f>
        <v/>
      </c>
      <c r="D9" s="12">
        <f>Paytable!H6</f>
        <v/>
      </c>
      <c r="E9" s="23">
        <f>C9*D9*10</f>
        <v/>
      </c>
      <c r="F9" s="24" t="n">
        <v>0.0006952285766601562</v>
      </c>
    </row>
    <row r="10">
      <c r="A10" s="6" t="inlineStr">
        <is>
          <t>Boilies</t>
        </is>
      </c>
      <c r="B10" s="18" t="n">
        <v>5</v>
      </c>
      <c r="C10" s="22">
        <f>'Reel Strips'!$H$26*('Reel Strips'!$I$26+'Reel Strips'!$I$37)*('Reel Strips'!$J$26+'Reel Strips'!$J$37)*('Reel Strips'!$K$26+'Reel Strips'!$K$37)*('Reel Strips'!$L$26+'Reel Strips'!$L$37)+'Reel Strips'!$H$37*'Reel Strips'!$I$26*('Reel Strips'!$J$26+'Reel Strips'!$J$37)*('Reel Strips'!$K$26+'Reel Strips'!$K$37)*('Reel Strips'!$L$26+'Reel Strips'!$L$37)+'Reel Strips'!$H$37*'Reel Strips'!$I$37*'Reel Strips'!$J$26*('Reel Strips'!$K$26+'Reel Strips'!$K$37)*('Reel Strips'!$L$26+'Reel Strips'!$L$37)+'Reel Strips'!$H$37*'Reel Strips'!$I$37*'Reel Strips'!$J$37*'Reel Strips'!$K$26*('Reel Strips'!$L$26+'Reel Strips'!$L$37)+'Reel Strips'!$H$37*'Reel Strips'!$I$37*'Reel Strips'!$J$37*'Reel Strips'!$K$37*'Reel Strips'!$L$26</f>
        <v/>
      </c>
      <c r="D10" s="12">
        <f>Paytable!I6</f>
        <v/>
      </c>
      <c r="E10" s="23">
        <f>C10*D10*10</f>
        <v/>
      </c>
      <c r="F10" s="24" t="n">
        <v>0.0001287460327148438</v>
      </c>
    </row>
    <row r="11">
      <c r="A11" s="6" t="inlineStr">
        <is>
          <t>Sweetcorn</t>
        </is>
      </c>
      <c r="B11" s="18" t="n">
        <v>3</v>
      </c>
      <c r="C11" s="22">
        <f>'Reel Strips'!$H$27*('Reel Strips'!$I$27+'Reel Strips'!$I$37)*('Reel Strips'!$J$27+'Reel Strips'!$J$37)*(1-'Reel Strips'!$K$27-'Reel Strips'!$K$37)+'Reel Strips'!$H$37*'Reel Strips'!$I$27*('Reel Strips'!$J$27+'Reel Strips'!$J$37)*(1-'Reel Strips'!$K$27-'Reel Strips'!$K$37)+'Reel Strips'!$H$37*'Reel Strips'!$I$37*'Reel Strips'!$J$27*(1-'Reel Strips'!$K$27-'Reel Strips'!$K$37)</f>
        <v/>
      </c>
      <c r="D11" s="12">
        <f>Paytable!G7</f>
        <v/>
      </c>
      <c r="E11" s="23">
        <f>C11*D11*10</f>
        <v/>
      </c>
      <c r="F11" s="24" t="n">
        <v>0.003570556640625</v>
      </c>
    </row>
    <row r="12">
      <c r="A12" s="6" t="inlineStr">
        <is>
          <t>Sweetcorn</t>
        </is>
      </c>
      <c r="B12" s="18" t="n">
        <v>4</v>
      </c>
      <c r="C12" s="22">
        <f>'Reel Strips'!$H$27*('Reel Strips'!$I$27+'Reel Strips'!$I$37)*('Reel Strips'!$J$27+'Reel Strips'!$J$37)*('Reel Strips'!$K$27+'Reel Strips'!$K$37)*(1-'Reel Strips'!$L$27-'Reel Strips'!$L$37)+'Reel Strips'!$H$37*'Reel Strips'!$I$27*('Reel Strips'!$J$27+'Reel Strips'!$J$37)*('Reel Strips'!$K$27+'Reel Strips'!$K$37)*(1-'Reel Strips'!$L$27-'Reel Strips'!$L$37)+'Reel Strips'!$H$37*'Reel Strips'!$I$37*'Reel Strips'!$J$27*('Reel Strips'!$K$27+'Reel Strips'!$K$37)*(1-'Reel Strips'!$L$27-'Reel Strips'!$L$37)+'Reel Strips'!$H$37*'Reel Strips'!$I$37*'Reel Strips'!$J$37*'Reel Strips'!$K$27*(1-'Reel Strips'!$L$27-'Reel Strips'!$L$37)</f>
        <v/>
      </c>
      <c r="D12" s="12">
        <f>Paytable!H7</f>
        <v/>
      </c>
      <c r="E12" s="23">
        <f>C12*D12*10</f>
        <v/>
      </c>
      <c r="F12" s="24" t="n">
        <v>0.0006952285766601562</v>
      </c>
    </row>
    <row r="13">
      <c r="A13" s="6" t="inlineStr">
        <is>
          <t>Sweetcorn</t>
        </is>
      </c>
      <c r="B13" s="18" t="n">
        <v>5</v>
      </c>
      <c r="C13" s="22">
        <f>'Reel Strips'!$H$27*('Reel Strips'!$I$27+'Reel Strips'!$I$37)*('Reel Strips'!$J$27+'Reel Strips'!$J$37)*('Reel Strips'!$K$27+'Reel Strips'!$K$37)*('Reel Strips'!$L$27+'Reel Strips'!$L$37)+'Reel Strips'!$H$37*'Reel Strips'!$I$27*('Reel Strips'!$J$27+'Reel Strips'!$J$37)*('Reel Strips'!$K$27+'Reel Strips'!$K$37)*('Reel Strips'!$L$27+'Reel Strips'!$L$37)+'Reel Strips'!$H$37*'Reel Strips'!$I$37*'Reel Strips'!$J$27*('Reel Strips'!$K$27+'Reel Strips'!$K$37)*('Reel Strips'!$L$27+'Reel Strips'!$L$37)+'Reel Strips'!$H$37*'Reel Strips'!$I$37*'Reel Strips'!$J$37*'Reel Strips'!$K$27*('Reel Strips'!$L$27+'Reel Strips'!$L$37)+'Reel Strips'!$H$37*'Reel Strips'!$I$37*'Reel Strips'!$J$37*'Reel Strips'!$K$37*'Reel Strips'!$L$27</f>
        <v/>
      </c>
      <c r="D13" s="12">
        <f>Paytable!I7</f>
        <v/>
      </c>
      <c r="E13" s="23">
        <f>C13*D13*10</f>
        <v/>
      </c>
      <c r="F13" s="24" t="n">
        <v>0.0001287460327148438</v>
      </c>
    </row>
    <row r="14">
      <c r="A14" s="6" t="inlineStr">
        <is>
          <t>Pellets</t>
        </is>
      </c>
      <c r="B14" s="18" t="n">
        <v>3</v>
      </c>
      <c r="C14" s="22">
        <f>'Reel Strips'!$H$28*('Reel Strips'!$I$28+'Reel Strips'!$I$37)*('Reel Strips'!$J$28+'Reel Strips'!$J$37)*(1-'Reel Strips'!$K$28-'Reel Strips'!$K$37)+'Reel Strips'!$H$37*'Reel Strips'!$I$28*('Reel Strips'!$J$28+'Reel Strips'!$J$37)*(1-'Reel Strips'!$K$28-'Reel Strips'!$K$37)+'Reel Strips'!$H$37*'Reel Strips'!$I$37*'Reel Strips'!$J$28*(1-'Reel Strips'!$K$28-'Reel Strips'!$K$37)</f>
        <v/>
      </c>
      <c r="D14" s="12">
        <f>Paytable!G8</f>
        <v/>
      </c>
      <c r="E14" s="23">
        <f>C14*D14*10</f>
        <v/>
      </c>
      <c r="F14" s="24" t="n">
        <v>0.003570556640625</v>
      </c>
    </row>
    <row r="15">
      <c r="A15" s="6" t="inlineStr">
        <is>
          <t>Pellets</t>
        </is>
      </c>
      <c r="B15" s="18" t="n">
        <v>4</v>
      </c>
      <c r="C15" s="22">
        <f>'Reel Strips'!$H$28*('Reel Strips'!$I$28+'Reel Strips'!$I$37)*('Reel Strips'!$J$28+'Reel Strips'!$J$37)*('Reel Strips'!$K$28+'Reel Strips'!$K$37)*(1-'Reel Strips'!$L$28-'Reel Strips'!$L$37)+'Reel Strips'!$H$37*'Reel Strips'!$I$28*('Reel Strips'!$J$28+'Reel Strips'!$J$37)*('Reel Strips'!$K$28+'Reel Strips'!$K$37)*(1-'Reel Strips'!$L$28-'Reel Strips'!$L$37)+'Reel Strips'!$H$37*'Reel Strips'!$I$37*'Reel Strips'!$J$28*('Reel Strips'!$K$28+'Reel Strips'!$K$37)*(1-'Reel Strips'!$L$28-'Reel Strips'!$L$37)+'Reel Strips'!$H$37*'Reel Strips'!$I$37*'Reel Strips'!$J$37*'Reel Strips'!$K$28*(1-'Reel Strips'!$L$28-'Reel Strips'!$L$37)</f>
        <v/>
      </c>
      <c r="D15" s="12">
        <f>Paytable!H8</f>
        <v/>
      </c>
      <c r="E15" s="23">
        <f>C15*D15*10</f>
        <v/>
      </c>
      <c r="F15" s="24" t="n">
        <v>0.0006694793701171875</v>
      </c>
    </row>
    <row r="16">
      <c r="A16" s="6" t="inlineStr">
        <is>
          <t>Pellets</t>
        </is>
      </c>
      <c r="B16" s="18" t="n">
        <v>5</v>
      </c>
      <c r="C16" s="22">
        <f>'Reel Strips'!$H$28*('Reel Strips'!$I$28+'Reel Strips'!$I$37)*('Reel Strips'!$J$28+'Reel Strips'!$J$37)*('Reel Strips'!$K$28+'Reel Strips'!$K$37)*('Reel Strips'!$L$28+'Reel Strips'!$L$37)+'Reel Strips'!$H$37*'Reel Strips'!$I$28*('Reel Strips'!$J$28+'Reel Strips'!$J$37)*('Reel Strips'!$K$28+'Reel Strips'!$K$37)*('Reel Strips'!$L$28+'Reel Strips'!$L$37)+'Reel Strips'!$H$37*'Reel Strips'!$I$37*'Reel Strips'!$J$28*('Reel Strips'!$K$28+'Reel Strips'!$K$37)*('Reel Strips'!$L$28+'Reel Strips'!$L$37)+'Reel Strips'!$H$37*'Reel Strips'!$I$37*'Reel Strips'!$J$37*'Reel Strips'!$K$28*('Reel Strips'!$L$28+'Reel Strips'!$L$37)+'Reel Strips'!$H$37*'Reel Strips'!$I$37*'Reel Strips'!$J$37*'Reel Strips'!$K$37*'Reel Strips'!$L$28</f>
        <v/>
      </c>
      <c r="D16" s="12">
        <f>Paytable!I8</f>
        <v/>
      </c>
      <c r="E16" s="23">
        <f>C16*D16*10</f>
        <v/>
      </c>
      <c r="F16" s="24" t="n">
        <v>0.0001544952392578125</v>
      </c>
    </row>
    <row r="17">
      <c r="A17" s="6" t="inlineStr">
        <is>
          <t>Flask</t>
        </is>
      </c>
      <c r="B17" s="18" t="n">
        <v>3</v>
      </c>
      <c r="C17" s="22">
        <f>'Reel Strips'!$H$29*('Reel Strips'!$I$29+'Reel Strips'!$I$37)*('Reel Strips'!$J$29+'Reel Strips'!$J$37)*(1-'Reel Strips'!$K$29-'Reel Strips'!$K$37)+'Reel Strips'!$H$37*'Reel Strips'!$I$29*('Reel Strips'!$J$29+'Reel Strips'!$J$37)*(1-'Reel Strips'!$K$29-'Reel Strips'!$K$37)+'Reel Strips'!$H$37*'Reel Strips'!$I$37*'Reel Strips'!$J$29*(1-'Reel Strips'!$K$29-'Reel Strips'!$K$37)</f>
        <v/>
      </c>
      <c r="D17" s="12">
        <f>Paytable!G9</f>
        <v/>
      </c>
      <c r="E17" s="23">
        <f>C17*D17*10</f>
        <v/>
      </c>
      <c r="F17" s="24" t="n">
        <v>0.00267791748046875</v>
      </c>
    </row>
    <row r="18">
      <c r="A18" s="6" t="inlineStr">
        <is>
          <t>Flask</t>
        </is>
      </c>
      <c r="B18" s="18" t="n">
        <v>4</v>
      </c>
      <c r="C18" s="22">
        <f>'Reel Strips'!$H$29*('Reel Strips'!$I$29+'Reel Strips'!$I$37)*('Reel Strips'!$J$29+'Reel Strips'!$J$37)*('Reel Strips'!$K$29+'Reel Strips'!$K$37)*(1-'Reel Strips'!$L$29-'Reel Strips'!$L$37)+'Reel Strips'!$H$37*'Reel Strips'!$I$29*('Reel Strips'!$J$29+'Reel Strips'!$J$37)*('Reel Strips'!$K$29+'Reel Strips'!$K$37)*(1-'Reel Strips'!$L$29-'Reel Strips'!$L$37)+'Reel Strips'!$H$37*'Reel Strips'!$I$37*'Reel Strips'!$J$29*('Reel Strips'!$K$29+'Reel Strips'!$K$37)*(1-'Reel Strips'!$L$29-'Reel Strips'!$L$37)+'Reel Strips'!$H$37*'Reel Strips'!$I$37*'Reel Strips'!$J$37*'Reel Strips'!$K$29*(1-'Reel Strips'!$L$29-'Reel Strips'!$L$37)</f>
        <v/>
      </c>
      <c r="D18" s="12">
        <f>Paytable!H9</f>
        <v/>
      </c>
      <c r="E18" s="23">
        <f>C18*D18*10</f>
        <v/>
      </c>
      <c r="F18" s="24" t="n">
        <v>0.0005214214324951172</v>
      </c>
    </row>
    <row r="19">
      <c r="A19" s="6" t="inlineStr">
        <is>
          <t>Flask</t>
        </is>
      </c>
      <c r="B19" s="18" t="n">
        <v>5</v>
      </c>
      <c r="C19" s="22">
        <f>'Reel Strips'!$H$29*('Reel Strips'!$I$29+'Reel Strips'!$I$37)*('Reel Strips'!$J$29+'Reel Strips'!$J$37)*('Reel Strips'!$K$29+'Reel Strips'!$K$37)*('Reel Strips'!$L$29+'Reel Strips'!$L$37)+'Reel Strips'!$H$37*'Reel Strips'!$I$29*('Reel Strips'!$J$29+'Reel Strips'!$J$37)*('Reel Strips'!$K$29+'Reel Strips'!$K$37)*('Reel Strips'!$L$29+'Reel Strips'!$L$37)+'Reel Strips'!$H$37*'Reel Strips'!$I$37*'Reel Strips'!$J$29*('Reel Strips'!$K$29+'Reel Strips'!$K$37)*('Reel Strips'!$L$29+'Reel Strips'!$L$37)+'Reel Strips'!$H$37*'Reel Strips'!$I$37*'Reel Strips'!$J$37*'Reel Strips'!$K$29*('Reel Strips'!$L$29+'Reel Strips'!$L$37)+'Reel Strips'!$H$37*'Reel Strips'!$I$37*'Reel Strips'!$J$37*'Reel Strips'!$K$37*'Reel Strips'!$L$29</f>
        <v/>
      </c>
      <c r="D19" s="12">
        <f>Paytable!I9</f>
        <v/>
      </c>
      <c r="E19" s="23">
        <f>C19*D19*10</f>
        <v/>
      </c>
      <c r="F19" s="24" t="n">
        <v>9.655952453613281e-05</v>
      </c>
    </row>
    <row r="20">
      <c r="A20" s="6" t="inlineStr">
        <is>
          <t>Catapult</t>
        </is>
      </c>
      <c r="B20" s="18" t="n">
        <v>3</v>
      </c>
      <c r="C20" s="22">
        <f>'Reel Strips'!$H$30*('Reel Strips'!$I$30+'Reel Strips'!$I$37)*('Reel Strips'!$J$30+'Reel Strips'!$J$37)*(1-'Reel Strips'!$K$30-'Reel Strips'!$K$37)+'Reel Strips'!$H$37*'Reel Strips'!$I$30*('Reel Strips'!$J$30+'Reel Strips'!$J$37)*(1-'Reel Strips'!$K$30-'Reel Strips'!$K$37)+'Reel Strips'!$H$37*'Reel Strips'!$I$37*'Reel Strips'!$J$30*(1-'Reel Strips'!$K$30-'Reel Strips'!$K$37)</f>
        <v/>
      </c>
      <c r="D20" s="12">
        <f>Paytable!G10</f>
        <v/>
      </c>
      <c r="E20" s="23">
        <f>C20*D20*10</f>
        <v/>
      </c>
      <c r="F20" s="24" t="n">
        <v>0.001931190490722656</v>
      </c>
    </row>
    <row r="21">
      <c r="A21" s="6" t="inlineStr">
        <is>
          <t>Catapult</t>
        </is>
      </c>
      <c r="B21" s="18" t="n">
        <v>4</v>
      </c>
      <c r="C21" s="22">
        <f>'Reel Strips'!$H$30*('Reel Strips'!$I$30+'Reel Strips'!$I$37)*('Reel Strips'!$J$30+'Reel Strips'!$J$37)*('Reel Strips'!$K$30+'Reel Strips'!$K$37)*(1-'Reel Strips'!$L$30-'Reel Strips'!$L$37)+'Reel Strips'!$H$37*'Reel Strips'!$I$30*('Reel Strips'!$J$30+'Reel Strips'!$J$37)*('Reel Strips'!$K$30+'Reel Strips'!$K$37)*(1-'Reel Strips'!$L$30-'Reel Strips'!$L$37)+'Reel Strips'!$H$37*'Reel Strips'!$I$37*'Reel Strips'!$J$30*('Reel Strips'!$K$30+'Reel Strips'!$K$37)*(1-'Reel Strips'!$L$30-'Reel Strips'!$L$37)+'Reel Strips'!$H$37*'Reel Strips'!$I$37*'Reel Strips'!$J$37*'Reel Strips'!$K$30*(1-'Reel Strips'!$L$30-'Reel Strips'!$L$37)</f>
        <v/>
      </c>
      <c r="D21" s="12">
        <f>Paytable!H10</f>
        <v/>
      </c>
      <c r="E21" s="23">
        <f>C21*D21*10</f>
        <v/>
      </c>
      <c r="F21" s="24" t="n">
        <v>0.000301748514175415</v>
      </c>
    </row>
    <row r="22">
      <c r="A22" s="6" t="inlineStr">
        <is>
          <t>Catapult</t>
        </is>
      </c>
      <c r="B22" s="18" t="n">
        <v>5</v>
      </c>
      <c r="C22" s="22">
        <f>'Reel Strips'!$H$30*('Reel Strips'!$I$30+'Reel Strips'!$I$37)*('Reel Strips'!$J$30+'Reel Strips'!$J$37)*('Reel Strips'!$K$30+'Reel Strips'!$K$37)*('Reel Strips'!$L$30+'Reel Strips'!$L$37)+'Reel Strips'!$H$37*'Reel Strips'!$I$30*('Reel Strips'!$J$30+'Reel Strips'!$J$37)*('Reel Strips'!$K$30+'Reel Strips'!$K$37)*('Reel Strips'!$L$30+'Reel Strips'!$L$37)+'Reel Strips'!$H$37*'Reel Strips'!$I$37*'Reel Strips'!$J$30*('Reel Strips'!$K$30+'Reel Strips'!$K$37)*('Reel Strips'!$L$30+'Reel Strips'!$L$37)+'Reel Strips'!$H$37*'Reel Strips'!$I$37*'Reel Strips'!$J$37*'Reel Strips'!$K$30*('Reel Strips'!$L$30+'Reel Strips'!$L$37)+'Reel Strips'!$H$37*'Reel Strips'!$I$37*'Reel Strips'!$J$37*'Reel Strips'!$K$37*'Reel Strips'!$L$30</f>
        <v/>
      </c>
      <c r="D22" s="12">
        <f>Paytable!I10</f>
        <v/>
      </c>
      <c r="E22" s="23">
        <f>C22*D22*10</f>
        <v/>
      </c>
      <c r="F22" s="24" t="n">
        <v>5.587935447692871e-05</v>
      </c>
    </row>
    <row r="23">
      <c r="A23" s="6" t="inlineStr">
        <is>
          <t>Landing Net</t>
        </is>
      </c>
      <c r="B23" s="18" t="n">
        <v>3</v>
      </c>
      <c r="C23" s="22">
        <f>'Reel Strips'!$H$31*('Reel Strips'!$I$31+'Reel Strips'!$I$37)*('Reel Strips'!$J$31+'Reel Strips'!$J$37)*(1-'Reel Strips'!$K$31-'Reel Strips'!$K$37)+'Reel Strips'!$H$37*'Reel Strips'!$I$31*('Reel Strips'!$J$31+'Reel Strips'!$J$37)*(1-'Reel Strips'!$K$31-'Reel Strips'!$K$37)+'Reel Strips'!$H$37*'Reel Strips'!$I$37*'Reel Strips'!$J$31*(1-'Reel Strips'!$K$31-'Reel Strips'!$K$37)</f>
        <v/>
      </c>
      <c r="D23" s="12">
        <f>Paytable!G11</f>
        <v/>
      </c>
      <c r="E23" s="23">
        <f>C23*D23*10</f>
        <v/>
      </c>
      <c r="F23" s="24" t="n">
        <v>0.001287460327148438</v>
      </c>
    </row>
    <row r="24">
      <c r="A24" s="6" t="inlineStr">
        <is>
          <t>Landing Net</t>
        </is>
      </c>
      <c r="B24" s="18" t="n">
        <v>4</v>
      </c>
      <c r="C24" s="22">
        <f>'Reel Strips'!$H$31*('Reel Strips'!$I$31+'Reel Strips'!$I$37)*('Reel Strips'!$J$31+'Reel Strips'!$J$37)*('Reel Strips'!$K$31+'Reel Strips'!$K$37)*(1-'Reel Strips'!$L$31-'Reel Strips'!$L$37)+'Reel Strips'!$H$37*'Reel Strips'!$I$31*('Reel Strips'!$J$31+'Reel Strips'!$J$37)*('Reel Strips'!$K$31+'Reel Strips'!$K$37)*(1-'Reel Strips'!$L$31-'Reel Strips'!$L$37)+'Reel Strips'!$H$37*'Reel Strips'!$I$37*'Reel Strips'!$J$31*('Reel Strips'!$K$31+'Reel Strips'!$K$37)*(1-'Reel Strips'!$L$31-'Reel Strips'!$L$37)+'Reel Strips'!$H$37*'Reel Strips'!$I$37*'Reel Strips'!$J$37*'Reel Strips'!$K$31*(1-'Reel Strips'!$L$31-'Reel Strips'!$L$37)</f>
        <v/>
      </c>
      <c r="D24" s="12">
        <f>Paytable!H11</f>
        <v/>
      </c>
      <c r="E24" s="23">
        <f>C24*D24*10</f>
        <v/>
      </c>
      <c r="F24" s="24" t="n">
        <v>0.0002086162567138672</v>
      </c>
    </row>
    <row r="25">
      <c r="A25" s="6" t="inlineStr">
        <is>
          <t>Landing Net</t>
        </is>
      </c>
      <c r="B25" s="18" t="n">
        <v>5</v>
      </c>
      <c r="C25" s="22">
        <f>'Reel Strips'!$H$31*('Reel Strips'!$I$31+'Reel Strips'!$I$37)*('Reel Strips'!$J$31+'Reel Strips'!$J$37)*('Reel Strips'!$K$31+'Reel Strips'!$K$37)*('Reel Strips'!$L$31+'Reel Strips'!$L$37)+'Reel Strips'!$H$37*'Reel Strips'!$I$31*('Reel Strips'!$J$31+'Reel Strips'!$J$37)*('Reel Strips'!$K$31+'Reel Strips'!$K$37)*('Reel Strips'!$L$31+'Reel Strips'!$L$37)+'Reel Strips'!$H$37*'Reel Strips'!$I$37*'Reel Strips'!$J$31*('Reel Strips'!$K$31+'Reel Strips'!$K$37)*('Reel Strips'!$L$31+'Reel Strips'!$L$37)+'Reel Strips'!$H$37*'Reel Strips'!$I$37*'Reel Strips'!$J$37*'Reel Strips'!$K$31*('Reel Strips'!$L$31+'Reel Strips'!$L$37)+'Reel Strips'!$H$37*'Reel Strips'!$I$37*'Reel Strips'!$J$37*'Reel Strips'!$K$37*'Reel Strips'!$L$31</f>
        <v/>
      </c>
      <c r="D25" s="12">
        <f>Paytable!I11</f>
        <v/>
      </c>
      <c r="E25" s="23">
        <f>C25*D25*10</f>
        <v/>
      </c>
      <c r="F25" s="24" t="n">
        <v>2.980232238769531e-05</v>
      </c>
    </row>
    <row r="26">
      <c r="A26" s="6" t="inlineStr">
        <is>
          <t>Bivvy</t>
        </is>
      </c>
      <c r="B26" s="18" t="n">
        <v>3</v>
      </c>
      <c r="C26" s="22">
        <f>'Reel Strips'!$H$32*('Reel Strips'!$I$32+'Reel Strips'!$I$37)*('Reel Strips'!$J$32+'Reel Strips'!$J$37)*(1-'Reel Strips'!$K$32-'Reel Strips'!$K$37)+'Reel Strips'!$H$37*'Reel Strips'!$I$32*('Reel Strips'!$J$32+'Reel Strips'!$J$37)*(1-'Reel Strips'!$K$32-'Reel Strips'!$K$37)+'Reel Strips'!$H$37*'Reel Strips'!$I$37*'Reel Strips'!$J$32*(1-'Reel Strips'!$K$32-'Reel Strips'!$K$37)</f>
        <v/>
      </c>
      <c r="D26" s="12">
        <f>Paytable!G12</f>
        <v/>
      </c>
      <c r="E26" s="23">
        <f>C26*D26*10</f>
        <v/>
      </c>
      <c r="F26" s="24" t="n">
        <v>0.001287460327148438</v>
      </c>
    </row>
    <row r="27">
      <c r="A27" s="6" t="inlineStr">
        <is>
          <t>Bivvy</t>
        </is>
      </c>
      <c r="B27" s="18" t="n">
        <v>4</v>
      </c>
      <c r="C27" s="22">
        <f>'Reel Strips'!$H$32*('Reel Strips'!$I$32+'Reel Strips'!$I$37)*('Reel Strips'!$J$32+'Reel Strips'!$J$37)*('Reel Strips'!$K$32+'Reel Strips'!$K$37)*(1-'Reel Strips'!$L$32-'Reel Strips'!$L$37)+'Reel Strips'!$H$37*'Reel Strips'!$I$32*('Reel Strips'!$J$32+'Reel Strips'!$J$37)*('Reel Strips'!$K$32+'Reel Strips'!$K$37)*(1-'Reel Strips'!$L$32-'Reel Strips'!$L$37)+'Reel Strips'!$H$37*'Reel Strips'!$I$37*'Reel Strips'!$J$32*('Reel Strips'!$K$32+'Reel Strips'!$K$37)*(1-'Reel Strips'!$L$32-'Reel Strips'!$L$37)+'Reel Strips'!$H$37*'Reel Strips'!$I$37*'Reel Strips'!$J$37*'Reel Strips'!$K$32*(1-'Reel Strips'!$L$32-'Reel Strips'!$L$37)</f>
        <v/>
      </c>
      <c r="D27" s="12">
        <f>Paytable!H12</f>
        <v/>
      </c>
      <c r="E27" s="23">
        <f>C27*D27*10</f>
        <v/>
      </c>
      <c r="F27" s="24" t="n">
        <v>0.0002086162567138672</v>
      </c>
    </row>
    <row r="28">
      <c r="A28" s="6" t="inlineStr">
        <is>
          <t>Bivvy</t>
        </is>
      </c>
      <c r="B28" s="18" t="n">
        <v>5</v>
      </c>
      <c r="C28" s="22">
        <f>'Reel Strips'!$H$32*('Reel Strips'!$I$32+'Reel Strips'!$I$37)*('Reel Strips'!$J$32+'Reel Strips'!$J$37)*('Reel Strips'!$K$32+'Reel Strips'!$K$37)*('Reel Strips'!$L$32+'Reel Strips'!$L$37)+'Reel Strips'!$H$37*'Reel Strips'!$I$32*('Reel Strips'!$J$32+'Reel Strips'!$J$37)*('Reel Strips'!$K$32+'Reel Strips'!$K$37)*('Reel Strips'!$L$32+'Reel Strips'!$L$37)+'Reel Strips'!$H$37*'Reel Strips'!$I$37*'Reel Strips'!$J$32*('Reel Strips'!$K$32+'Reel Strips'!$K$37)*('Reel Strips'!$L$32+'Reel Strips'!$L$37)+'Reel Strips'!$H$37*'Reel Strips'!$I$37*'Reel Strips'!$J$37*'Reel Strips'!$K$32*('Reel Strips'!$L$32+'Reel Strips'!$L$37)+'Reel Strips'!$H$37*'Reel Strips'!$I$37*'Reel Strips'!$J$37*'Reel Strips'!$K$37*'Reel Strips'!$L$32</f>
        <v/>
      </c>
      <c r="D28" s="12">
        <f>Paytable!I12</f>
        <v/>
      </c>
      <c r="E28" s="23">
        <f>C28*D28*10</f>
        <v/>
      </c>
      <c r="F28" s="24" t="n">
        <v>2.980232238769531e-05</v>
      </c>
    </row>
    <row r="29">
      <c r="A29" s="6" t="inlineStr">
        <is>
          <t>Roach</t>
        </is>
      </c>
      <c r="B29" s="18" t="n">
        <v>3</v>
      </c>
      <c r="C29" s="22">
        <f>'Reel Strips'!$H$33*('Reel Strips'!$I$33+'Reel Strips'!$I$37)*('Reel Strips'!$J$33+'Reel Strips'!$J$37)*(1-'Reel Strips'!$K$33-'Reel Strips'!$K$37)+'Reel Strips'!$H$37*'Reel Strips'!$I$33*('Reel Strips'!$J$33+'Reel Strips'!$J$37)*(1-'Reel Strips'!$K$33-'Reel Strips'!$K$37)+'Reel Strips'!$H$37*'Reel Strips'!$I$37*'Reel Strips'!$J$33*(1-'Reel Strips'!$K$33-'Reel Strips'!$K$37)</f>
        <v/>
      </c>
      <c r="D29" s="12">
        <f>Paytable!G13</f>
        <v/>
      </c>
      <c r="E29" s="23">
        <f>C29*D29*10</f>
        <v/>
      </c>
      <c r="F29" s="24" t="n">
        <v>0.00042724609375</v>
      </c>
    </row>
    <row r="30">
      <c r="A30" s="6" t="inlineStr">
        <is>
          <t>Roach</t>
        </is>
      </c>
      <c r="B30" s="18" t="n">
        <v>4</v>
      </c>
      <c r="C30" s="22">
        <f>'Reel Strips'!$H$33*('Reel Strips'!$I$33+'Reel Strips'!$I$37)*('Reel Strips'!$J$33+'Reel Strips'!$J$37)*('Reel Strips'!$K$33+'Reel Strips'!$K$37)*(1-'Reel Strips'!$L$33-'Reel Strips'!$L$37)+'Reel Strips'!$H$37*'Reel Strips'!$I$33*('Reel Strips'!$J$33+'Reel Strips'!$J$37)*('Reel Strips'!$K$33+'Reel Strips'!$K$37)*(1-'Reel Strips'!$L$33-'Reel Strips'!$L$37)+'Reel Strips'!$H$37*'Reel Strips'!$I$37*'Reel Strips'!$J$33*('Reel Strips'!$K$33+'Reel Strips'!$K$37)*(1-'Reel Strips'!$L$33-'Reel Strips'!$L$37)+'Reel Strips'!$H$37*'Reel Strips'!$I$37*'Reel Strips'!$J$37*'Reel Strips'!$K$33*(1-'Reel Strips'!$L$33-'Reel Strips'!$L$37)</f>
        <v/>
      </c>
      <c r="D30" s="12">
        <f>Paytable!H13</f>
        <v/>
      </c>
      <c r="E30" s="23">
        <f>C30*D30*10</f>
        <v/>
      </c>
      <c r="F30" s="24" t="n">
        <v>5.53131103515625e-05</v>
      </c>
    </row>
    <row r="31">
      <c r="A31" s="6" t="inlineStr">
        <is>
          <t>Roach</t>
        </is>
      </c>
      <c r="B31" s="18" t="n">
        <v>5</v>
      </c>
      <c r="C31" s="22">
        <f>'Reel Strips'!$H$33*('Reel Strips'!$I$33+'Reel Strips'!$I$37)*('Reel Strips'!$J$33+'Reel Strips'!$J$37)*('Reel Strips'!$K$33+'Reel Strips'!$K$37)*('Reel Strips'!$L$33+'Reel Strips'!$L$37)+'Reel Strips'!$H$37*'Reel Strips'!$I$33*('Reel Strips'!$J$33+'Reel Strips'!$J$37)*('Reel Strips'!$K$33+'Reel Strips'!$K$37)*('Reel Strips'!$L$33+'Reel Strips'!$L$37)+'Reel Strips'!$H$37*'Reel Strips'!$I$37*'Reel Strips'!$J$33*('Reel Strips'!$K$33+'Reel Strips'!$K$37)*('Reel Strips'!$L$33+'Reel Strips'!$L$37)+'Reel Strips'!$H$37*'Reel Strips'!$I$37*'Reel Strips'!$J$37*'Reel Strips'!$K$33*('Reel Strips'!$L$33+'Reel Strips'!$L$37)+'Reel Strips'!$H$37*'Reel Strips'!$I$37*'Reel Strips'!$J$37*'Reel Strips'!$K$37*'Reel Strips'!$L$33</f>
        <v/>
      </c>
      <c r="D31" s="12">
        <f>Paytable!I13</f>
        <v/>
      </c>
      <c r="E31" s="23">
        <f>C31*D31*10</f>
        <v/>
      </c>
      <c r="F31" s="24" t="n">
        <v>5.7220458984375e-06</v>
      </c>
    </row>
    <row r="32">
      <c r="A32" s="6" t="inlineStr">
        <is>
          <t>Bream</t>
        </is>
      </c>
      <c r="B32" s="18" t="n">
        <v>3</v>
      </c>
      <c r="C32" s="22">
        <f>'Reel Strips'!$H$34*('Reel Strips'!$I$34+'Reel Strips'!$I$37)*('Reel Strips'!$J$34+'Reel Strips'!$J$37)*(1-'Reel Strips'!$K$34-'Reel Strips'!$K$37)+'Reel Strips'!$H$37*'Reel Strips'!$I$34*('Reel Strips'!$J$34+'Reel Strips'!$J$37)*(1-'Reel Strips'!$K$34-'Reel Strips'!$K$37)+'Reel Strips'!$H$37*'Reel Strips'!$I$37*'Reel Strips'!$J$34*(1-'Reel Strips'!$K$34-'Reel Strips'!$K$37)</f>
        <v/>
      </c>
      <c r="D32" s="12">
        <f>Paytable!G14</f>
        <v/>
      </c>
      <c r="E32" s="23">
        <f>C32*D32*10</f>
        <v/>
      </c>
      <c r="F32" s="24" t="n">
        <v>0.00042724609375</v>
      </c>
    </row>
    <row r="33">
      <c r="A33" s="6" t="inlineStr">
        <is>
          <t>Bream</t>
        </is>
      </c>
      <c r="B33" s="18" t="n">
        <v>4</v>
      </c>
      <c r="C33" s="22">
        <f>'Reel Strips'!$H$34*('Reel Strips'!$I$34+'Reel Strips'!$I$37)*('Reel Strips'!$J$34+'Reel Strips'!$J$37)*('Reel Strips'!$K$34+'Reel Strips'!$K$37)*(1-'Reel Strips'!$L$34-'Reel Strips'!$L$37)+'Reel Strips'!$H$37*'Reel Strips'!$I$34*('Reel Strips'!$J$34+'Reel Strips'!$J$37)*('Reel Strips'!$K$34+'Reel Strips'!$K$37)*(1-'Reel Strips'!$L$34-'Reel Strips'!$L$37)+'Reel Strips'!$H$37*'Reel Strips'!$I$37*'Reel Strips'!$J$34*('Reel Strips'!$K$34+'Reel Strips'!$K$37)*(1-'Reel Strips'!$L$34-'Reel Strips'!$L$37)+'Reel Strips'!$H$37*'Reel Strips'!$I$37*'Reel Strips'!$J$37*'Reel Strips'!$K$34*(1-'Reel Strips'!$L$34-'Reel Strips'!$L$37)</f>
        <v/>
      </c>
      <c r="D33" s="12">
        <f>Paytable!H14</f>
        <v/>
      </c>
      <c r="E33" s="23">
        <f>C33*D33*10</f>
        <v/>
      </c>
      <c r="F33" s="24" t="n">
        <v>5.53131103515625e-05</v>
      </c>
    </row>
    <row r="34">
      <c r="A34" s="6" t="inlineStr">
        <is>
          <t>Bream</t>
        </is>
      </c>
      <c r="B34" s="18" t="n">
        <v>5</v>
      </c>
      <c r="C34" s="22">
        <f>'Reel Strips'!$H$34*('Reel Strips'!$I$34+'Reel Strips'!$I$37)*('Reel Strips'!$J$34+'Reel Strips'!$J$37)*('Reel Strips'!$K$34+'Reel Strips'!$K$37)*('Reel Strips'!$L$34+'Reel Strips'!$L$37)+'Reel Strips'!$H$37*'Reel Strips'!$I$34*('Reel Strips'!$J$34+'Reel Strips'!$J$37)*('Reel Strips'!$K$34+'Reel Strips'!$K$37)*('Reel Strips'!$L$34+'Reel Strips'!$L$37)+'Reel Strips'!$H$37*'Reel Strips'!$I$37*'Reel Strips'!$J$34*('Reel Strips'!$K$34+'Reel Strips'!$K$37)*('Reel Strips'!$L$34+'Reel Strips'!$L$37)+'Reel Strips'!$H$37*'Reel Strips'!$I$37*'Reel Strips'!$J$37*'Reel Strips'!$K$34*('Reel Strips'!$L$34+'Reel Strips'!$L$37)+'Reel Strips'!$H$37*'Reel Strips'!$I$37*'Reel Strips'!$J$37*'Reel Strips'!$K$37*'Reel Strips'!$L$34</f>
        <v/>
      </c>
      <c r="D34" s="12">
        <f>Paytable!I14</f>
        <v/>
      </c>
      <c r="E34" s="23">
        <f>C34*D34*10</f>
        <v/>
      </c>
      <c r="F34" s="24" t="n">
        <v>5.7220458984375e-06</v>
      </c>
    </row>
    <row r="35">
      <c r="A35" s="6" t="inlineStr">
        <is>
          <t>Tench</t>
        </is>
      </c>
      <c r="B35" s="18" t="n">
        <v>3</v>
      </c>
      <c r="C35" s="22">
        <f>'Reel Strips'!$H$35*('Reel Strips'!$I$35+'Reel Strips'!$I$37)*('Reel Strips'!$J$35+'Reel Strips'!$J$37)*(1-'Reel Strips'!$K$35-'Reel Strips'!$K$37)+'Reel Strips'!$H$37*'Reel Strips'!$I$35*('Reel Strips'!$J$35+'Reel Strips'!$J$37)*(1-'Reel Strips'!$K$35-'Reel Strips'!$K$37)+'Reel Strips'!$H$37*'Reel Strips'!$I$37*'Reel Strips'!$J$35*(1-'Reel Strips'!$K$35-'Reel Strips'!$K$37)</f>
        <v/>
      </c>
      <c r="D35" s="12">
        <f>Paytable!G15</f>
        <v/>
      </c>
      <c r="E35" s="23">
        <f>C35*D35*10</f>
        <v/>
      </c>
      <c r="F35" s="24" t="n">
        <v>0.00042724609375</v>
      </c>
    </row>
    <row r="36">
      <c r="A36" s="6" t="inlineStr">
        <is>
          <t>Tench</t>
        </is>
      </c>
      <c r="B36" s="18" t="n">
        <v>4</v>
      </c>
      <c r="C36" s="22">
        <f>'Reel Strips'!$H$35*('Reel Strips'!$I$35+'Reel Strips'!$I$37)*('Reel Strips'!$J$35+'Reel Strips'!$J$37)*('Reel Strips'!$K$35+'Reel Strips'!$K$37)*(1-'Reel Strips'!$L$35-'Reel Strips'!$L$37)+'Reel Strips'!$H$37*'Reel Strips'!$I$35*('Reel Strips'!$J$35+'Reel Strips'!$J$37)*('Reel Strips'!$K$35+'Reel Strips'!$K$37)*(1-'Reel Strips'!$L$35-'Reel Strips'!$L$37)+'Reel Strips'!$H$37*'Reel Strips'!$I$37*'Reel Strips'!$J$35*('Reel Strips'!$K$35+'Reel Strips'!$K$37)*(1-'Reel Strips'!$L$35-'Reel Strips'!$L$37)+'Reel Strips'!$H$37*'Reel Strips'!$I$37*'Reel Strips'!$J$37*'Reel Strips'!$K$35*(1-'Reel Strips'!$L$35-'Reel Strips'!$L$37)</f>
        <v/>
      </c>
      <c r="D36" s="12">
        <f>Paytable!H15</f>
        <v/>
      </c>
      <c r="E36" s="23">
        <f>C36*D36*10</f>
        <v/>
      </c>
      <c r="F36" s="24" t="n">
        <v>5.53131103515625e-05</v>
      </c>
    </row>
    <row r="37">
      <c r="A37" s="6" t="inlineStr">
        <is>
          <t>Tench</t>
        </is>
      </c>
      <c r="B37" s="18" t="n">
        <v>5</v>
      </c>
      <c r="C37" s="22">
        <f>'Reel Strips'!$H$35*('Reel Strips'!$I$35+'Reel Strips'!$I$37)*('Reel Strips'!$J$35+'Reel Strips'!$J$37)*('Reel Strips'!$K$35+'Reel Strips'!$K$37)*('Reel Strips'!$L$35+'Reel Strips'!$L$37)+'Reel Strips'!$H$37*'Reel Strips'!$I$35*('Reel Strips'!$J$35+'Reel Strips'!$J$37)*('Reel Strips'!$K$35+'Reel Strips'!$K$37)*('Reel Strips'!$L$35+'Reel Strips'!$L$37)+'Reel Strips'!$H$37*'Reel Strips'!$I$37*'Reel Strips'!$J$35*('Reel Strips'!$K$35+'Reel Strips'!$K$37)*('Reel Strips'!$L$35+'Reel Strips'!$L$37)+'Reel Strips'!$H$37*'Reel Strips'!$I$37*'Reel Strips'!$J$37*'Reel Strips'!$K$35*('Reel Strips'!$L$35+'Reel Strips'!$L$37)+'Reel Strips'!$H$37*'Reel Strips'!$I$37*'Reel Strips'!$J$37*'Reel Strips'!$K$37*'Reel Strips'!$L$35</f>
        <v/>
      </c>
      <c r="D37" s="12">
        <f>Paytable!I15</f>
        <v/>
      </c>
      <c r="E37" s="23">
        <f>C37*D37*10</f>
        <v/>
      </c>
      <c r="F37" s="24" t="n">
        <v>5.7220458984375e-06</v>
      </c>
    </row>
    <row r="38">
      <c r="A38" s="6" t="inlineStr">
        <is>
          <t>Mirror Carp</t>
        </is>
      </c>
      <c r="B38" s="18" t="n">
        <v>3</v>
      </c>
      <c r="C38" s="22">
        <f>'Reel Strips'!$H$36*('Reel Strips'!$I$36+'Reel Strips'!$I$37)*('Reel Strips'!$J$36+'Reel Strips'!$J$37)*(1-'Reel Strips'!$K$36-'Reel Strips'!$K$37)+'Reel Strips'!$H$37*'Reel Strips'!$I$36*('Reel Strips'!$J$36+'Reel Strips'!$J$37)*(1-'Reel Strips'!$K$36-'Reel Strips'!$K$37)+'Reel Strips'!$H$37*'Reel Strips'!$I$37*'Reel Strips'!$J$36*(1-'Reel Strips'!$K$36-'Reel Strips'!$K$37)</f>
        <v/>
      </c>
      <c r="D38" s="12">
        <f>Paytable!G16</f>
        <v/>
      </c>
      <c r="E38" s="23">
        <f>C38*D38*10</f>
        <v/>
      </c>
      <c r="F38" s="24" t="n">
        <v>0.00042724609375</v>
      </c>
    </row>
    <row r="39">
      <c r="A39" s="6" t="inlineStr">
        <is>
          <t>Mirror Carp</t>
        </is>
      </c>
      <c r="B39" s="18" t="n">
        <v>4</v>
      </c>
      <c r="C39" s="22">
        <f>'Reel Strips'!$H$36*('Reel Strips'!$I$36+'Reel Strips'!$I$37)*('Reel Strips'!$J$36+'Reel Strips'!$J$37)*('Reel Strips'!$K$36+'Reel Strips'!$K$37)*(1-'Reel Strips'!$L$36-'Reel Strips'!$L$37)+'Reel Strips'!$H$37*'Reel Strips'!$I$36*('Reel Strips'!$J$36+'Reel Strips'!$J$37)*('Reel Strips'!$K$36+'Reel Strips'!$K$37)*(1-'Reel Strips'!$L$36-'Reel Strips'!$L$37)+'Reel Strips'!$H$37*'Reel Strips'!$I$37*'Reel Strips'!$J$36*('Reel Strips'!$K$36+'Reel Strips'!$K$37)*(1-'Reel Strips'!$L$36-'Reel Strips'!$L$37)+'Reel Strips'!$H$37*'Reel Strips'!$I$37*'Reel Strips'!$J$37*'Reel Strips'!$K$36*(1-'Reel Strips'!$L$36-'Reel Strips'!$L$37)</f>
        <v/>
      </c>
      <c r="D39" s="12">
        <f>Paytable!H16</f>
        <v/>
      </c>
      <c r="E39" s="23">
        <f>C39*D39*10</f>
        <v/>
      </c>
      <c r="F39" s="24" t="n">
        <v>5.53131103515625e-05</v>
      </c>
    </row>
    <row r="40">
      <c r="A40" s="6" t="inlineStr">
        <is>
          <t>Mirror Carp</t>
        </is>
      </c>
      <c r="B40" s="18" t="n">
        <v>5</v>
      </c>
      <c r="C40" s="22">
        <f>'Reel Strips'!$H$36*('Reel Strips'!$I$36+'Reel Strips'!$I$37)*('Reel Strips'!$J$36+'Reel Strips'!$J$37)*('Reel Strips'!$K$36+'Reel Strips'!$K$37)*('Reel Strips'!$L$36+'Reel Strips'!$L$37)+'Reel Strips'!$H$37*'Reel Strips'!$I$36*('Reel Strips'!$J$36+'Reel Strips'!$J$37)*('Reel Strips'!$K$36+'Reel Strips'!$K$37)*('Reel Strips'!$L$36+'Reel Strips'!$L$37)+'Reel Strips'!$H$37*'Reel Strips'!$I$37*'Reel Strips'!$J$36*('Reel Strips'!$K$36+'Reel Strips'!$K$37)*('Reel Strips'!$L$36+'Reel Strips'!$L$37)+'Reel Strips'!$H$37*'Reel Strips'!$I$37*'Reel Strips'!$J$37*'Reel Strips'!$K$36*('Reel Strips'!$L$36+'Reel Strips'!$L$37)+'Reel Strips'!$H$37*'Reel Strips'!$I$37*'Reel Strips'!$J$37*'Reel Strips'!$K$37*'Reel Strips'!$L$36+'Reel Strips'!$H$37*'Reel Strips'!$I$37*'Reel Strips'!$J$37*'Reel Strips'!$K$37*'Reel Strips'!$L$37</f>
        <v/>
      </c>
      <c r="D40" s="12">
        <f>Paytable!I16</f>
        <v/>
      </c>
      <c r="E40" s="23">
        <f>C40*D40*10</f>
        <v/>
      </c>
      <c r="F40" s="24" t="n">
        <v>5.7220458984375e-06</v>
      </c>
    </row>
    <row r="41">
      <c r="A41" s="4" t="inlineStr">
        <is>
          <t>Total line RTP</t>
        </is>
      </c>
      <c r="E41" s="25">
        <f>SUM(E5:E40)</f>
        <v/>
      </c>
    </row>
    <row r="42">
      <c r="A42" s="6" t="inlineStr">
        <is>
          <t>Max difference vs engine exact (should be ~0)</t>
        </is>
      </c>
      <c r="C42" s="26">
        <f>SUMPRODUCT(ABS(C5:C40-F5:F40))</f>
        <v/>
      </c>
    </row>
    <row r="44">
      <c r="A44" s="2" t="inlineStr">
        <is>
          <t>Column F: same probability computed independently by math/par_sheet.mjs from the engine rules (cross-check).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3" customWidth="1" min="4" max="4"/>
    <col width="20" customWidth="1" min="5" max="5"/>
    <col width="12" customWidth="1" min="6" max="6"/>
  </cols>
  <sheetData>
    <row r="1">
      <c r="A1" s="1" t="inlineStr">
        <is>
          <t>Specimen Fish (cash) values in free spins</t>
        </is>
      </c>
    </row>
    <row r="2">
      <c r="A2" s="2" t="inlineStr">
        <is>
          <t>Each Specimen Fish that lands is weighed: one weight is drawn with the probabilities below and paid at once.</t>
        </is>
      </c>
    </row>
    <row r="4">
      <c r="A4" s="3" t="inlineStr">
        <is>
          <t>Weight</t>
        </is>
      </c>
      <c r="B4" s="3" t="inlineStr">
        <is>
          <t>Prize (x stake)</t>
        </is>
      </c>
      <c r="C4" s="3" t="inlineStr">
        <is>
          <t>Draw weight</t>
        </is>
      </c>
      <c r="D4" s="3" t="inlineStr">
        <is>
          <t>Probability</t>
        </is>
      </c>
      <c r="E4" s="3" t="inlineStr">
        <is>
          <t>Contribution to mean</t>
        </is>
      </c>
      <c r="F4" s="3" t="inlineStr">
        <is>
          <t>1 in</t>
        </is>
      </c>
    </row>
    <row r="5">
      <c r="A5" s="6" t="inlineStr">
        <is>
          <t>2lb 4oz</t>
        </is>
      </c>
      <c r="B5" s="15" t="n">
        <v>0.5</v>
      </c>
      <c r="C5" s="14" t="n">
        <v>394</v>
      </c>
      <c r="D5" s="27">
        <f>C5/SUM($C$5:$C$16)</f>
        <v/>
      </c>
      <c r="E5" s="28">
        <f>B5*D5</f>
        <v/>
      </c>
      <c r="F5" s="18">
        <f>1/D5</f>
        <v/>
      </c>
    </row>
    <row r="6">
      <c r="A6" s="6" t="inlineStr">
        <is>
          <t>4lb 0oz</t>
        </is>
      </c>
      <c r="B6" s="15" t="n">
        <v>1</v>
      </c>
      <c r="C6" s="14" t="n">
        <v>250</v>
      </c>
      <c r="D6" s="27">
        <f>C6/SUM($C$5:$C$16)</f>
        <v/>
      </c>
      <c r="E6" s="28">
        <f>B6*D6</f>
        <v/>
      </c>
      <c r="F6" s="18">
        <f>1/D6</f>
        <v/>
      </c>
    </row>
    <row r="7">
      <c r="A7" s="6" t="inlineStr">
        <is>
          <t>6lb 8oz</t>
        </is>
      </c>
      <c r="B7" s="15" t="n">
        <v>2</v>
      </c>
      <c r="C7" s="14" t="n">
        <v>170</v>
      </c>
      <c r="D7" s="27">
        <f>C7/SUM($C$5:$C$16)</f>
        <v/>
      </c>
      <c r="E7" s="28">
        <f>B7*D7</f>
        <v/>
      </c>
      <c r="F7" s="18">
        <f>1/D7</f>
        <v/>
      </c>
    </row>
    <row r="8">
      <c r="A8" s="6" t="inlineStr">
        <is>
          <t>9lb 12oz</t>
        </is>
      </c>
      <c r="B8" s="15" t="n">
        <v>3</v>
      </c>
      <c r="C8" s="14" t="n">
        <v>110</v>
      </c>
      <c r="D8" s="27">
        <f>C8/SUM($C$5:$C$16)</f>
        <v/>
      </c>
      <c r="E8" s="28">
        <f>B8*D8</f>
        <v/>
      </c>
      <c r="F8" s="18">
        <f>1/D8</f>
        <v/>
      </c>
    </row>
    <row r="9">
      <c r="A9" s="6" t="inlineStr">
        <is>
          <t>14lb 0oz</t>
        </is>
      </c>
      <c r="B9" s="15" t="n">
        <v>5</v>
      </c>
      <c r="C9" s="14" t="n">
        <v>80</v>
      </c>
      <c r="D9" s="27">
        <f>C9/SUM($C$5:$C$16)</f>
        <v/>
      </c>
      <c r="E9" s="28">
        <f>B9*D9</f>
        <v/>
      </c>
      <c r="F9" s="18">
        <f>1/D9</f>
        <v/>
      </c>
    </row>
    <row r="10">
      <c r="A10" s="6" t="inlineStr">
        <is>
          <t>19lb 8oz</t>
        </is>
      </c>
      <c r="B10" s="15" t="n">
        <v>8</v>
      </c>
      <c r="C10" s="14" t="n">
        <v>38</v>
      </c>
      <c r="D10" s="27">
        <f>C10/SUM($C$5:$C$16)</f>
        <v/>
      </c>
      <c r="E10" s="28">
        <f>B10*D10</f>
        <v/>
      </c>
      <c r="F10" s="18">
        <f>1/D10</f>
        <v/>
      </c>
    </row>
    <row r="11">
      <c r="A11" s="6" t="inlineStr">
        <is>
          <t>26lb 0oz</t>
        </is>
      </c>
      <c r="B11" s="15" t="n">
        <v>12</v>
      </c>
      <c r="C11" s="14" t="n">
        <v>22.5</v>
      </c>
      <c r="D11" s="27">
        <f>C11/SUM($C$5:$C$16)</f>
        <v/>
      </c>
      <c r="E11" s="28">
        <f>B11*D11</f>
        <v/>
      </c>
      <c r="F11" s="18">
        <f>1/D11</f>
        <v/>
      </c>
    </row>
    <row r="12">
      <c r="A12" s="6" t="inlineStr">
        <is>
          <t>32lb 8oz</t>
        </is>
      </c>
      <c r="B12" s="15" t="n">
        <v>20</v>
      </c>
      <c r="C12" s="14" t="n">
        <v>13</v>
      </c>
      <c r="D12" s="27">
        <f>C12/SUM($C$5:$C$16)</f>
        <v/>
      </c>
      <c r="E12" s="28">
        <f>B12*D12</f>
        <v/>
      </c>
      <c r="F12" s="18">
        <f>1/D12</f>
        <v/>
      </c>
    </row>
    <row r="13">
      <c r="A13" s="6" t="inlineStr">
        <is>
          <t>38lb 12oz</t>
        </is>
      </c>
      <c r="B13" s="15" t="n">
        <v>50</v>
      </c>
      <c r="C13" s="14" t="n">
        <v>6.5</v>
      </c>
      <c r="D13" s="27">
        <f>C13/SUM($C$5:$C$16)</f>
        <v/>
      </c>
      <c r="E13" s="28">
        <f>B13*D13</f>
        <v/>
      </c>
      <c r="F13" s="18">
        <f>1/D13</f>
        <v/>
      </c>
    </row>
    <row r="14">
      <c r="A14" s="6" t="inlineStr">
        <is>
          <t>45lb 4oz</t>
        </is>
      </c>
      <c r="B14" s="15" t="n">
        <v>100</v>
      </c>
      <c r="C14" s="14" t="n">
        <v>1.75</v>
      </c>
      <c r="D14" s="27">
        <f>C14/SUM($C$5:$C$16)</f>
        <v/>
      </c>
      <c r="E14" s="28">
        <f>B14*D14</f>
        <v/>
      </c>
      <c r="F14" s="18">
        <f>1/D14</f>
        <v/>
      </c>
    </row>
    <row r="15">
      <c r="A15" s="6" t="inlineStr">
        <is>
          <t>52lb 0oz</t>
        </is>
      </c>
      <c r="B15" s="15" t="n">
        <v>250</v>
      </c>
      <c r="C15" s="14" t="n">
        <v>0.5</v>
      </c>
      <c r="D15" s="27">
        <f>C15/SUM($C$5:$C$16)</f>
        <v/>
      </c>
      <c r="E15" s="28">
        <f>B15*D15</f>
        <v/>
      </c>
      <c r="F15" s="18">
        <f>1/D15</f>
        <v/>
      </c>
    </row>
    <row r="16">
      <c r="A16" s="6" t="inlineStr">
        <is>
          <t>64lb 8oz</t>
        </is>
      </c>
      <c r="B16" s="15" t="n">
        <v>1000</v>
      </c>
      <c r="C16" s="14" t="n">
        <v>0.1</v>
      </c>
      <c r="D16" s="27">
        <f>C16/SUM($C$5:$C$16)</f>
        <v/>
      </c>
      <c r="E16" s="28">
        <f>B16*D16</f>
        <v/>
      </c>
      <c r="F16" s="18">
        <f>1/D16</f>
        <v/>
      </c>
    </row>
    <row r="18">
      <c r="A18" s="4" t="inlineStr">
        <is>
          <t>Mean fish value</t>
        </is>
      </c>
      <c r="E18" s="29">
        <f>SUM(E5:E16)</f>
        <v/>
      </c>
    </row>
    <row r="20">
      <c r="A20" s="2" t="inlineStr">
        <is>
          <t>Source: FISH table in client/src/engine.js. Record fish: 52lb 0oz (250x) and 64lb 8oz (1,000x).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30" customWidth="1" min="3" max="3"/>
    <col width="16" customWidth="1" min="4" max="4"/>
  </cols>
  <sheetData>
    <row r="1">
      <c r="A1" s="1" t="inlineStr">
        <is>
          <t>Baited swims (free spins collect multiplier)</t>
        </is>
      </c>
    </row>
    <row r="2">
      <c r="A2" s="2" t="inlineStr">
        <is>
          <t>Before the first free spin 3 swims are baited on 3 different reels (random row on each) and stay put for the feature. A fish landing in a swim pays its prize x the swim multiplier, then the multiplier steps up.</t>
        </is>
      </c>
    </row>
    <row r="4">
      <c r="A4" s="3" t="inlineStr">
        <is>
          <t>Catch in a swim</t>
        </is>
      </c>
      <c r="B4" s="3" t="inlineStr">
        <is>
          <t>Multiplier</t>
        </is>
      </c>
    </row>
    <row r="5">
      <c r="A5" s="6" t="inlineStr">
        <is>
          <t>1</t>
        </is>
      </c>
      <c r="B5" s="30" t="n">
        <v>2</v>
      </c>
    </row>
    <row r="6">
      <c r="A6" s="6" t="inlineStr">
        <is>
          <t>2</t>
        </is>
      </c>
      <c r="B6" s="30" t="n">
        <v>4</v>
      </c>
    </row>
    <row r="7">
      <c r="A7" s="6" t="inlineStr">
        <is>
          <t>3</t>
        </is>
      </c>
      <c r="B7" s="30" t="n">
        <v>8</v>
      </c>
    </row>
    <row r="8">
      <c r="A8" s="6" t="inlineStr">
        <is>
          <t>4</t>
        </is>
      </c>
      <c r="B8" s="30" t="n">
        <v>16</v>
      </c>
    </row>
    <row r="9">
      <c r="A9" s="6" t="inlineStr">
        <is>
          <t>5 and on</t>
        </is>
      </c>
      <c r="B9" s="30" t="n">
        <v>32</v>
      </c>
    </row>
    <row r="11">
      <c r="A11" s="2" t="inlineStr">
        <is>
          <t>Chance of n catches in one swim over a whole feature: exact, from math/par_sheet.mjs (joint chance of a fish in the swim and a retrigger on each spin, stepped through every possible feature; averaged over all 15 cells).</t>
        </is>
      </c>
    </row>
    <row r="12">
      <c r="A12" s="3" t="inlineStr">
        <is>
          <t>Catches n</t>
        </is>
      </c>
      <c r="B12" s="3" t="inlineStr">
        <is>
          <t>P(n catches)</t>
        </is>
      </c>
      <c r="C12" s="3" t="inlineStr">
        <is>
          <t>Multipliers paid for n catches</t>
        </is>
      </c>
      <c r="D12" s="3" t="inlineStr">
        <is>
          <t>P x multipliers</t>
        </is>
      </c>
    </row>
    <row r="13">
      <c r="A13" s="18" t="n">
        <v>0</v>
      </c>
      <c r="B13" s="31" t="n">
        <v>0.3637601544156269</v>
      </c>
      <c r="C13" s="18" t="n">
        <v>0</v>
      </c>
      <c r="D13" s="32">
        <f>B13*C13</f>
        <v/>
      </c>
    </row>
    <row r="14">
      <c r="A14" s="18" t="n">
        <v>1</v>
      </c>
      <c r="B14" s="31" t="n">
        <v>0.3844261440607835</v>
      </c>
      <c r="C14" s="18">
        <f>C13+INDEX($B$5:$B$9,MIN(A14,5))</f>
        <v/>
      </c>
      <c r="D14" s="32">
        <f>B14*C14</f>
        <v/>
      </c>
    </row>
    <row r="15">
      <c r="A15" s="18" t="n">
        <v>2</v>
      </c>
      <c r="B15" s="31" t="n">
        <v>0.1851278757674617</v>
      </c>
      <c r="C15" s="18">
        <f>C14+INDEX($B$5:$B$9,MIN(A15,5))</f>
        <v/>
      </c>
      <c r="D15" s="32">
        <f>B15*C15</f>
        <v/>
      </c>
    </row>
    <row r="16">
      <c r="A16" s="18" t="n">
        <v>3</v>
      </c>
      <c r="B16" s="31" t="n">
        <v>0.05404755225894368</v>
      </c>
      <c r="C16" s="18">
        <f>C15+INDEX($B$5:$B$9,MIN(A16,5))</f>
        <v/>
      </c>
      <c r="D16" s="32">
        <f>B16*C16</f>
        <v/>
      </c>
    </row>
    <row r="17">
      <c r="A17" s="18" t="n">
        <v>4</v>
      </c>
      <c r="B17" s="31" t="n">
        <v>0.01080921979623277</v>
      </c>
      <c r="C17" s="18">
        <f>C16+INDEX($B$5:$B$9,MIN(A17,5))</f>
        <v/>
      </c>
      <c r="D17" s="32">
        <f>B17*C17</f>
        <v/>
      </c>
    </row>
    <row r="18">
      <c r="A18" s="18" t="n">
        <v>5</v>
      </c>
      <c r="B18" s="31" t="n">
        <v>0.001610313370753053</v>
      </c>
      <c r="C18" s="18">
        <f>C17+INDEX($B$5:$B$9,MIN(A18,5))</f>
        <v/>
      </c>
      <c r="D18" s="32">
        <f>B18*C18</f>
        <v/>
      </c>
    </row>
    <row r="19">
      <c r="A19" s="18" t="n">
        <v>6</v>
      </c>
      <c r="B19" s="31" t="n">
        <v>0.0001949131433207399</v>
      </c>
      <c r="C19" s="18">
        <f>C18+INDEX($B$5:$B$9,MIN(A19,5))</f>
        <v/>
      </c>
      <c r="D19" s="32">
        <f>B19*C19</f>
        <v/>
      </c>
    </row>
    <row r="20">
      <c r="A20" s="18" t="n">
        <v>7</v>
      </c>
      <c r="B20" s="31" t="n">
        <v>2.125587996630631e-05</v>
      </c>
      <c r="C20" s="18">
        <f>C19+INDEX($B$5:$B$9,MIN(A20,5))</f>
        <v/>
      </c>
      <c r="D20" s="32">
        <f>B20*C20</f>
        <v/>
      </c>
    </row>
    <row r="21">
      <c r="A21" s="18" t="n">
        <v>8</v>
      </c>
      <c r="B21" s="31" t="n">
        <v>2.287645137293226e-06</v>
      </c>
      <c r="C21" s="18">
        <f>C20+INDEX($B$5:$B$9,MIN(A21,5))</f>
        <v/>
      </c>
      <c r="D21" s="32">
        <f>B21*C21</f>
        <v/>
      </c>
    </row>
    <row r="22">
      <c r="A22" s="18" t="n">
        <v>9</v>
      </c>
      <c r="B22" s="31" t="n">
        <v>2.517835619717737e-07</v>
      </c>
      <c r="C22" s="18">
        <f>C21+INDEX($B$5:$B$9,MIN(A22,5))</f>
        <v/>
      </c>
      <c r="D22" s="32">
        <f>B22*C22</f>
        <v/>
      </c>
    </row>
    <row r="23">
      <c r="A23" s="18" t="n">
        <v>10</v>
      </c>
      <c r="B23" s="31" t="n">
        <v>2.823785851026822e-08</v>
      </c>
      <c r="C23" s="18">
        <f>C22+INDEX($B$5:$B$9,MIN(A23,5))</f>
        <v/>
      </c>
      <c r="D23" s="32">
        <f>B23*C23</f>
        <v/>
      </c>
    </row>
    <row r="24">
      <c r="A24" s="18" t="n">
        <v>11</v>
      </c>
      <c r="B24" s="31" t="n">
        <v>3.217653570359108e-09</v>
      </c>
      <c r="C24" s="18">
        <f>C23+INDEX($B$5:$B$9,MIN(A24,5))</f>
        <v/>
      </c>
      <c r="D24" s="32">
        <f>B24*C24</f>
        <v/>
      </c>
    </row>
    <row r="25">
      <c r="A25" s="18" t="n">
        <v>12</v>
      </c>
      <c r="B25" s="31" t="n">
        <v>3.728874515691925e-10</v>
      </c>
      <c r="C25" s="18">
        <f>C24+INDEX($B$5:$B$9,MIN(A25,5))</f>
        <v/>
      </c>
      <c r="D25" s="32">
        <f>B25*C25</f>
        <v/>
      </c>
    </row>
    <row r="26">
      <c r="A26" s="18" t="n">
        <v>13</v>
      </c>
      <c r="B26" s="31" t="n">
        <v>4.386841230578126e-11</v>
      </c>
      <c r="C26" s="18">
        <f>C25+INDEX($B$5:$B$9,MIN(A26,5))</f>
        <v/>
      </c>
      <c r="D26" s="32">
        <f>B26*C26</f>
        <v/>
      </c>
    </row>
    <row r="27">
      <c r="A27" s="18" t="n">
        <v>14</v>
      </c>
      <c r="B27" s="31" t="n">
        <v>5.226496981111618e-12</v>
      </c>
      <c r="C27" s="18">
        <f>C26+INDEX($B$5:$B$9,MIN(A27,5))</f>
        <v/>
      </c>
      <c r="D27" s="32">
        <f>B27*C27</f>
        <v/>
      </c>
    </row>
    <row r="28">
      <c r="A28" s="18" t="n">
        <v>15</v>
      </c>
      <c r="B28" s="31" t="n">
        <v>6.296779716656629e-13</v>
      </c>
      <c r="C28" s="18">
        <f>C27+INDEX($B$5:$B$9,MIN(A28,5))</f>
        <v/>
      </c>
      <c r="D28" s="32">
        <f>B28*C28</f>
        <v/>
      </c>
    </row>
    <row r="29">
      <c r="A29" s="18" t="n">
        <v>16</v>
      </c>
      <c r="B29" s="31" t="n">
        <v>7.661575713581199e-14</v>
      </c>
      <c r="C29" s="18">
        <f>C28+INDEX($B$5:$B$9,MIN(A29,5))</f>
        <v/>
      </c>
      <c r="D29" s="32">
        <f>B29*C29</f>
        <v/>
      </c>
    </row>
    <row r="30">
      <c r="A30" s="18" t="n">
        <v>17</v>
      </c>
      <c r="B30" s="31" t="n">
        <v>9.403254323481159e-15</v>
      </c>
      <c r="C30" s="18">
        <f>C29+INDEX($B$5:$B$9,MIN(A30,5))</f>
        <v/>
      </c>
      <c r="D30" s="32">
        <f>B30*C30</f>
        <v/>
      </c>
    </row>
    <row r="31">
      <c r="A31" s="18" t="n">
        <v>18</v>
      </c>
      <c r="B31" s="31" t="n">
        <v>1.162968643633572e-15</v>
      </c>
      <c r="C31" s="18">
        <f>C30+INDEX($B$5:$B$9,MIN(A31,5))</f>
        <v/>
      </c>
      <c r="D31" s="32">
        <f>B31*C31</f>
        <v/>
      </c>
    </row>
    <row r="33">
      <c r="A33" s="6" t="inlineStr">
        <is>
          <t>Total probability (should be 1)</t>
        </is>
      </c>
      <c r="B33" s="33">
        <f>SUM(B13:B31)</f>
        <v/>
      </c>
    </row>
    <row r="34">
      <c r="A34" s="6" t="inlineStr">
        <is>
          <t>Expected catches per swim</t>
        </is>
      </c>
      <c r="B34" s="32">
        <f>SUMPRODUCT(A13:A31,B13:B31)</f>
        <v/>
      </c>
    </row>
    <row r="35">
      <c r="A35" s="4" t="inlineStr">
        <is>
          <t>Expected multipliers paid per swim</t>
        </is>
      </c>
      <c r="B35" s="34">
        <f>SUM(D13:D31)</f>
        <v/>
      </c>
    </row>
    <row r="37">
      <c r="A37" s="2" t="inlineStr">
        <is>
          <t>Cross-check: expected catches per swim must equal expected free spins x chance of a fish in one swim per spin (see Free Spins Feature).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84" customWidth="1" min="3" max="3"/>
  </cols>
  <sheetData>
    <row r="1">
      <c r="A1" s="1" t="inlineStr">
        <is>
          <t>Three Rods free spins</t>
        </is>
      </c>
    </row>
    <row r="2">
      <c r="A2" s="2" t="inlineStr">
        <is>
          <t>Trigger: a Bite Alarm visible on each of reels 2, 3 and 4 (any row). 10 free spins; 3 alarms in free spins add 5 more.</t>
        </is>
      </c>
    </row>
    <row r="4">
      <c r="A4" s="3" t="inlineStr">
        <is>
          <t>Item</t>
        </is>
      </c>
      <c r="B4" s="3" t="inlineStr">
        <is>
          <t>Value</t>
        </is>
      </c>
      <c r="C4" s="3" t="inlineStr">
        <is>
          <t>Notes</t>
        </is>
      </c>
    </row>
    <row r="5">
      <c r="A5" s="6" t="inlineStr">
        <is>
          <t>P(alarm visible) reel 2, base</t>
        </is>
      </c>
      <c r="B5" s="24" t="n">
        <v>0.1875</v>
      </c>
      <c r="C5" s="2" t="inlineStr">
        <is>
          <t>Share of stops whose 3-row window contains an alarm (from strips.json)</t>
        </is>
      </c>
    </row>
    <row r="6">
      <c r="A6" s="6" t="inlineStr">
        <is>
          <t>P(alarm visible) reel 3, base</t>
        </is>
      </c>
      <c r="B6" s="24" t="n">
        <v>0.1875</v>
      </c>
      <c r="C6" s="2" t="inlineStr"/>
    </row>
    <row r="7">
      <c r="A7" s="6" t="inlineStr">
        <is>
          <t>P(alarm visible) reel 4, base</t>
        </is>
      </c>
      <c r="B7" s="24" t="n">
        <v>0.1875</v>
      </c>
      <c r="C7" s="2" t="inlineStr"/>
    </row>
    <row r="8">
      <c r="A8" s="6" t="inlineStr">
        <is>
          <t>P(trigger) per base spin</t>
        </is>
      </c>
      <c r="B8" s="22">
        <f>B5*B6*B7</f>
        <v/>
      </c>
      <c r="C8" s="2" t="inlineStr">
        <is>
          <t>Reels stop independently</t>
        </is>
      </c>
    </row>
    <row r="9">
      <c r="A9" s="6" t="inlineStr">
        <is>
          <t>Trigger: 1 in</t>
        </is>
      </c>
      <c r="B9" s="35">
        <f>1/B8</f>
        <v/>
      </c>
      <c r="C9" s="2" t="inlineStr"/>
    </row>
    <row r="10">
      <c r="A10" s="6" t="inlineStr">
        <is>
          <t>P(alarm visible) reel 2, free spins</t>
        </is>
      </c>
      <c r="B10" s="24" t="n">
        <v>0.1875</v>
      </c>
      <c r="C10" s="2" t="inlineStr"/>
    </row>
    <row r="11">
      <c r="A11" s="6" t="inlineStr">
        <is>
          <t>P(alarm visible) reel 3, free spins</t>
        </is>
      </c>
      <c r="B11" s="24" t="n">
        <v>0.1875</v>
      </c>
      <c r="C11" s="2" t="inlineStr"/>
    </row>
    <row r="12">
      <c r="A12" s="6" t="inlineStr">
        <is>
          <t>P(alarm visible) reel 4, free spins</t>
        </is>
      </c>
      <c r="B12" s="24" t="n">
        <v>0.1875</v>
      </c>
      <c r="C12" s="2" t="inlineStr"/>
    </row>
    <row r="13">
      <c r="A13" s="6" t="inlineStr">
        <is>
          <t>P(retrigger) per free spin</t>
        </is>
      </c>
      <c r="B13" s="22">
        <f>B10*B11*B12</f>
        <v/>
      </c>
      <c r="C13" s="2" t="inlineStr"/>
    </row>
    <row r="14">
      <c r="A14" s="6" t="inlineStr">
        <is>
          <t>Expected free spins per feature</t>
        </is>
      </c>
      <c r="B14" s="36">
        <f>10/(1-5*B13)</f>
        <v/>
      </c>
      <c r="C14" s="2" t="inlineStr">
        <is>
          <t>Each spin adds 5 x P(retrigger) spins on average: 10 / (1 - 5q)</t>
        </is>
      </c>
    </row>
    <row r="15">
      <c r="A15" s="6" t="inlineStr">
        <is>
          <t>Expected Specimen Fish per free spin</t>
        </is>
      </c>
      <c r="B15" s="21">
        <f>3*SUM('Reel Strips'!H39:L39)</f>
        <v/>
      </c>
      <c r="C15" s="2" t="inlineStr">
        <is>
          <t>3 visible rows x P(cash) summed over reels</t>
        </is>
      </c>
    </row>
    <row r="16">
      <c r="A16" s="6" t="inlineStr">
        <is>
          <t>Expected fish in swims per free spin</t>
        </is>
      </c>
      <c r="B16" s="21">
        <f>3*AVERAGE('Reel Strips'!H39:L39)</f>
        <v/>
      </c>
      <c r="C16" s="2" t="inlineStr">
        <is>
          <t>Each swim is equally likely to be on any reel</t>
        </is>
      </c>
    </row>
    <row r="17">
      <c r="A17" s="6" t="inlineStr">
        <is>
          <t>Expected fish outside swims per free spin</t>
        </is>
      </c>
      <c r="B17" s="21">
        <f>B15-B16</f>
        <v/>
      </c>
      <c r="C17" s="2" t="inlineStr">
        <is>
          <t>Paid at x1</t>
        </is>
      </c>
    </row>
    <row r="18">
      <c r="A18" s="6" t="inlineStr">
        <is>
          <t>Mean fish value</t>
        </is>
      </c>
      <c r="B18" s="37">
        <f>'Fish Values'!$E$18</f>
        <v/>
      </c>
      <c r="C18" s="2" t="inlineStr">
        <is>
          <t>From Fish Values</t>
        </is>
      </c>
    </row>
    <row r="19">
      <c r="A19" s="6" t="inlineStr">
        <is>
          <t>Free-spin line RTP per spin</t>
        </is>
      </c>
      <c r="B19" s="37">
        <f>'Line Wins Free Spins'!E41</f>
        <v/>
      </c>
      <c r="C19" s="2" t="inlineStr">
        <is>
          <t>From Line Wins Free Spins</t>
        </is>
      </c>
    </row>
    <row r="20">
      <c r="A20" s="6" t="inlineStr">
        <is>
          <t>Expected win per free spin, outside swims</t>
        </is>
      </c>
      <c r="B20" s="28">
        <f>B19+B17*B18</f>
        <v/>
      </c>
      <c r="C20" s="2" t="inlineStr">
        <is>
          <t>Line wins + fish outside the swims</t>
        </is>
      </c>
    </row>
    <row r="21">
      <c r="A21" s="6" t="inlineStr">
        <is>
          <t>Expected multipliers paid per swim</t>
        </is>
      </c>
      <c r="B21" s="38">
        <f>'Baited Swims'!$B$35</f>
        <v/>
      </c>
      <c r="C21" s="2" t="inlineStr">
        <is>
          <t>From Baited Swims (exact)</t>
        </is>
      </c>
    </row>
    <row r="22">
      <c r="A22" s="6" t="inlineStr">
        <is>
          <t>Expected swim win per feature</t>
        </is>
      </c>
      <c r="B22" s="20">
        <f>3*B21*B18</f>
        <v/>
      </c>
      <c r="C22" s="2" t="inlineStr">
        <is>
          <t>Swims x multipliers per swim x mean fish (fish value is independent of the swim)</t>
        </is>
      </c>
    </row>
    <row r="23">
      <c r="A23" s="6" t="inlineStr">
        <is>
          <t>Expected feature win (uncapped)</t>
        </is>
      </c>
      <c r="B23" s="20">
        <f>B14*B20+B22</f>
        <v/>
      </c>
      <c r="C23" s="2" t="inlineStr">
        <is>
          <t>Ignores the 5,000x cap (see Summary for how often it is reached)</t>
        </is>
      </c>
    </row>
    <row r="24">
      <c r="A24" s="6" t="inlineStr">
        <is>
          <t>Feature RTP contribution</t>
        </is>
      </c>
      <c r="B24" s="23">
        <f>B8*B23</f>
        <v/>
      </c>
      <c r="C24" s="2" t="inlineStr">
        <is>
          <t>P(trigger) x expected feature win</t>
        </is>
      </c>
    </row>
    <row r="25">
      <c r="A25" s="6" t="inlineStr">
        <is>
          <t>Check: catches per swim (spins x chance)</t>
        </is>
      </c>
      <c r="B25" s="26">
        <f>B14*B16/3-'Baited Swims'!$B$34</f>
        <v/>
      </c>
      <c r="C25" s="2" t="inlineStr">
        <is>
          <t>Should be ~0: links the DP in Baited Swims to the strips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Win distribution (simulation of the production engine, 50,000,000 rounds, seed 2026)</t>
        </is>
      </c>
    </row>
    <row r="2">
      <c r="A2" s="2" t="inlineStr">
        <is>
          <t>Total win per game round (base spin + any free spins) as a multiple of stake. Rounds counted by math/par_sheet.mjs.</t>
        </is>
      </c>
    </row>
    <row r="3">
      <c r="A3" s="6" t="inlineStr">
        <is>
          <t>Rounds simulated</t>
        </is>
      </c>
      <c r="B3" s="17" t="n">
        <v>50000000</v>
      </c>
    </row>
    <row r="5">
      <c r="A5" s="3" t="inlineStr">
        <is>
          <t>Win band</t>
        </is>
      </c>
      <c r="B5" s="3" t="inlineStr">
        <is>
          <t>Rounds</t>
        </is>
      </c>
      <c r="C5" s="3" t="inlineStr">
        <is>
          <t>Probability</t>
        </is>
      </c>
      <c r="D5" s="3" t="inlineStr">
        <is>
          <t>1 in</t>
        </is>
      </c>
      <c r="E5" s="3" t="inlineStr">
        <is>
          <t>RTP contribution</t>
        </is>
      </c>
    </row>
    <row r="6">
      <c r="A6" s="6" t="inlineStr">
        <is>
          <t>No win</t>
        </is>
      </c>
      <c r="B6" s="17" t="n">
        <v>36948505</v>
      </c>
      <c r="C6" s="39">
        <f>B6/$B$3</f>
        <v/>
      </c>
      <c r="D6" s="18">
        <f>IF(B6=0,"-",$B$3/B6)</f>
        <v/>
      </c>
      <c r="E6" s="8" t="n">
        <v>0</v>
      </c>
    </row>
    <row r="7">
      <c r="A7" s="6" t="inlineStr">
        <is>
          <t>Below stake (0 &lt; x &lt; 1)</t>
        </is>
      </c>
      <c r="B7" s="17" t="n">
        <v>5573714</v>
      </c>
      <c r="C7" s="39">
        <f>B7/$B$3</f>
        <v/>
      </c>
      <c r="D7" s="18">
        <f>IF(B7=0,"-",$B$3/B7)</f>
        <v/>
      </c>
      <c r="E7" s="8" t="n">
        <v>0.08542598399929671</v>
      </c>
    </row>
    <row r="8">
      <c r="A8" s="6" t="inlineStr">
        <is>
          <t>1x to &lt;2x</t>
        </is>
      </c>
      <c r="B8" s="17" t="n">
        <v>2743009</v>
      </c>
      <c r="C8" s="39">
        <f>B8/$B$3</f>
        <v/>
      </c>
      <c r="D8" s="18">
        <f>IF(B8=0,"-",$B$3/B8)</f>
        <v/>
      </c>
      <c r="E8" s="8" t="n">
        <v>0.08095999800032061</v>
      </c>
    </row>
    <row r="9">
      <c r="A9" s="6" t="inlineStr">
        <is>
          <t>2x to &lt;5x</t>
        </is>
      </c>
      <c r="B9" s="17" t="n">
        <v>3496950</v>
      </c>
      <c r="C9" s="39">
        <f>B9/$B$3</f>
        <v/>
      </c>
      <c r="D9" s="18">
        <f>IF(B9=0,"-",$B$3/B9)</f>
        <v/>
      </c>
      <c r="E9" s="8" t="n">
        <v>0.2193047900032522</v>
      </c>
    </row>
    <row r="10">
      <c r="A10" s="6" t="inlineStr">
        <is>
          <t>5x to &lt;10x</t>
        </is>
      </c>
      <c r="B10" s="17" t="n">
        <v>747100</v>
      </c>
      <c r="C10" s="39">
        <f>B10/$B$3</f>
        <v/>
      </c>
      <c r="D10" s="18">
        <f>IF(B10=0,"-",$B$3/B10)</f>
        <v/>
      </c>
      <c r="E10" s="8" t="n">
        <v>0.09974693400006807</v>
      </c>
    </row>
    <row r="11">
      <c r="A11" s="6" t="inlineStr">
        <is>
          <t>10x to &lt;20x</t>
        </is>
      </c>
      <c r="B11" s="17" t="n">
        <v>135842</v>
      </c>
      <c r="C11" s="39">
        <f>B11/$B$3</f>
        <v/>
      </c>
      <c r="D11" s="18">
        <f>IF(B11=0,"-",$B$3/B11)</f>
        <v/>
      </c>
      <c r="E11" s="8" t="n">
        <v>0.0362322739999931</v>
      </c>
    </row>
    <row r="12">
      <c r="A12" s="6" t="inlineStr">
        <is>
          <t>20x to &lt;50x</t>
        </is>
      </c>
      <c r="B12" s="17" t="n">
        <v>204462</v>
      </c>
      <c r="C12" s="39">
        <f>B12/$B$3</f>
        <v/>
      </c>
      <c r="D12" s="18">
        <f>IF(B12=0,"-",$B$3/B12)</f>
        <v/>
      </c>
      <c r="E12" s="8" t="n">
        <v>0.1363402040000143</v>
      </c>
    </row>
    <row r="13">
      <c r="A13" s="6" t="inlineStr">
        <is>
          <t>50x to &lt;100x</t>
        </is>
      </c>
      <c r="B13" s="17" t="n">
        <v>110753</v>
      </c>
      <c r="C13" s="39">
        <f>B13/$B$3</f>
        <v/>
      </c>
      <c r="D13" s="18">
        <f>IF(B13=0,"-",$B$3/B13)</f>
        <v/>
      </c>
      <c r="E13" s="8" t="n">
        <v>0.1516287560000053</v>
      </c>
    </row>
    <row r="14">
      <c r="A14" s="6" t="inlineStr">
        <is>
          <t>100x to &lt;250x</t>
        </is>
      </c>
      <c r="B14" s="17" t="n">
        <v>33729</v>
      </c>
      <c r="C14" s="39">
        <f>B14/$B$3</f>
        <v/>
      </c>
      <c r="D14" s="18">
        <f>IF(B14=0,"-",$B$3/B14)</f>
        <v/>
      </c>
      <c r="E14" s="8" t="n">
        <v>0.09439900399999883</v>
      </c>
    </row>
    <row r="15">
      <c r="A15" s="6" t="inlineStr">
        <is>
          <t>250x to &lt;500x</t>
        </is>
      </c>
      <c r="B15" s="17" t="n">
        <v>4578</v>
      </c>
      <c r="C15" s="39">
        <f>B15/$B$3</f>
        <v/>
      </c>
      <c r="D15" s="18">
        <f>IF(B15=0,"-",$B$3/B15)</f>
        <v/>
      </c>
      <c r="E15" s="8" t="n">
        <v>0.02969988400000011</v>
      </c>
    </row>
    <row r="16">
      <c r="A16" s="6" t="inlineStr">
        <is>
          <t>500x to &lt;1,000x</t>
        </is>
      </c>
      <c r="B16" s="17" t="n">
        <v>701</v>
      </c>
      <c r="C16" s="39">
        <f>B16/$B$3</f>
        <v/>
      </c>
      <c r="D16" s="18">
        <f>IF(B16=0,"-",$B$3/B16)</f>
        <v/>
      </c>
      <c r="E16" s="8" t="n">
        <v>0.009056123999999995</v>
      </c>
    </row>
    <row r="17">
      <c r="A17" s="6" t="inlineStr">
        <is>
          <t>1,000x to &lt;5,000x</t>
        </is>
      </c>
      <c r="B17" s="17" t="n">
        <v>645</v>
      </c>
      <c r="C17" s="39">
        <f>B17/$B$3</f>
        <v/>
      </c>
      <c r="D17" s="18">
        <f>IF(B17=0,"-",$B$3/B17)</f>
        <v/>
      </c>
      <c r="E17" s="8" t="n">
        <v>0.01667745599999999</v>
      </c>
    </row>
    <row r="18">
      <c r="A18" s="6" t="inlineStr">
        <is>
          <t>5,000x (cap)</t>
        </is>
      </c>
      <c r="B18" s="17" t="n">
        <v>12</v>
      </c>
      <c r="C18" s="39">
        <f>B18/$B$3</f>
        <v/>
      </c>
      <c r="D18" s="18">
        <f>IF(B18=0,"-",$B$3/B18)</f>
        <v/>
      </c>
      <c r="E18" s="8" t="n">
        <v>0.0012</v>
      </c>
    </row>
    <row r="19">
      <c r="A19" s="4" t="inlineStr">
        <is>
          <t>Total</t>
        </is>
      </c>
      <c r="B19" s="40">
        <f>SUM(B6:B18)</f>
        <v/>
      </c>
      <c r="C19" s="25">
        <f>SUM(C6:C18)</f>
        <v/>
      </c>
      <c r="E19" s="25">
        <f>SUM(E6:E18)</f>
        <v/>
      </c>
    </row>
    <row r="21">
      <c r="A21" s="2" t="inlineStr">
        <is>
          <t>RTP contribution per band is the simulated sum of wins in that band divided by rounds (input from the simulation).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Full reel strips (stop order)</t>
        </is>
      </c>
    </row>
    <row r="3">
      <c r="A3" s="3" t="inlineStr">
        <is>
          <t>Stop</t>
        </is>
      </c>
      <c r="B3" s="3" t="inlineStr">
        <is>
          <t>Base R1</t>
        </is>
      </c>
      <c r="C3" s="3" t="inlineStr">
        <is>
          <t>Base R2</t>
        </is>
      </c>
      <c r="D3" s="3" t="inlineStr">
        <is>
          <t>Base R3</t>
        </is>
      </c>
      <c r="E3" s="3" t="inlineStr">
        <is>
          <t>Base R4</t>
        </is>
      </c>
      <c r="F3" s="3" t="inlineStr">
        <is>
          <t>Base R5</t>
        </is>
      </c>
      <c r="G3" s="3" t="inlineStr"/>
      <c r="H3" s="3" t="inlineStr">
        <is>
          <t>FS R1</t>
        </is>
      </c>
      <c r="I3" s="3" t="inlineStr">
        <is>
          <t>FS R2</t>
        </is>
      </c>
      <c r="J3" s="3" t="inlineStr">
        <is>
          <t>FS R3</t>
        </is>
      </c>
      <c r="K3" s="3" t="inlineStr">
        <is>
          <t>FS R4</t>
        </is>
      </c>
      <c r="L3" s="3" t="inlineStr">
        <is>
          <t>FS R5</t>
        </is>
      </c>
    </row>
    <row r="4">
      <c r="A4" s="18" t="n">
        <v>0</v>
      </c>
      <c r="B4" s="19" t="inlineStr">
        <is>
          <t>BOILIE</t>
        </is>
      </c>
      <c r="C4" s="19" t="inlineStr">
        <is>
          <t>FLOAT</t>
        </is>
      </c>
      <c r="D4" s="19" t="inlineStr">
        <is>
          <t>BIVVY</t>
        </is>
      </c>
      <c r="E4" s="19" t="inlineStr">
        <is>
          <t>CATAPULT</t>
        </is>
      </c>
      <c r="F4" s="19" t="inlineStr">
        <is>
          <t>WILD</t>
        </is>
      </c>
      <c r="H4" s="19" t="inlineStr">
        <is>
          <t>BOILIE</t>
        </is>
      </c>
      <c r="I4" s="19" t="inlineStr">
        <is>
          <t>FLOAT</t>
        </is>
      </c>
      <c r="J4" s="19" t="inlineStr">
        <is>
          <t>PELLET</t>
        </is>
      </c>
      <c r="K4" s="19" t="inlineStr">
        <is>
          <t>ALARM</t>
        </is>
      </c>
      <c r="L4" s="19" t="inlineStr">
        <is>
          <t>WILD</t>
        </is>
      </c>
    </row>
    <row r="5">
      <c r="A5" s="18" t="n">
        <v>1</v>
      </c>
      <c r="B5" s="19" t="inlineStr">
        <is>
          <t>CORN</t>
        </is>
      </c>
      <c r="C5" s="19" t="inlineStr">
        <is>
          <t>BIVVY</t>
        </is>
      </c>
      <c r="D5" s="19" t="inlineStr">
        <is>
          <t>ROACH</t>
        </is>
      </c>
      <c r="E5" s="19" t="inlineStr">
        <is>
          <t>CORN</t>
        </is>
      </c>
      <c r="F5" s="19" t="inlineStr">
        <is>
          <t>FLOAT</t>
        </is>
      </c>
      <c r="H5" s="19" t="inlineStr">
        <is>
          <t>BOILIE</t>
        </is>
      </c>
      <c r="I5" s="19" t="inlineStr">
        <is>
          <t>CASH</t>
        </is>
      </c>
      <c r="J5" s="19" t="inlineStr">
        <is>
          <t>FLASK</t>
        </is>
      </c>
      <c r="K5" s="19" t="inlineStr">
        <is>
          <t>ROACH</t>
        </is>
      </c>
      <c r="L5" s="19" t="inlineStr">
        <is>
          <t>FLASK</t>
        </is>
      </c>
    </row>
    <row r="6">
      <c r="A6" s="18" t="n">
        <v>2</v>
      </c>
      <c r="B6" s="19" t="inlineStr">
        <is>
          <t>MIRROR</t>
        </is>
      </c>
      <c r="C6" s="19" t="inlineStr">
        <is>
          <t>CORN</t>
        </is>
      </c>
      <c r="D6" s="19" t="inlineStr">
        <is>
          <t>CATAPULT</t>
        </is>
      </c>
      <c r="E6" s="19" t="inlineStr">
        <is>
          <t>ROACH</t>
        </is>
      </c>
      <c r="F6" s="19" t="inlineStr">
        <is>
          <t>BOILIE</t>
        </is>
      </c>
      <c r="H6" s="19" t="inlineStr">
        <is>
          <t>CATAPULT</t>
        </is>
      </c>
      <c r="I6" s="19" t="inlineStr">
        <is>
          <t>NET</t>
        </is>
      </c>
      <c r="J6" s="19" t="inlineStr">
        <is>
          <t>NET</t>
        </is>
      </c>
      <c r="K6" s="19" t="inlineStr">
        <is>
          <t>WILD</t>
        </is>
      </c>
      <c r="L6" s="19" t="inlineStr">
        <is>
          <t>PELLET</t>
        </is>
      </c>
    </row>
    <row r="7">
      <c r="A7" s="18" t="n">
        <v>3</v>
      </c>
      <c r="B7" s="19" t="inlineStr">
        <is>
          <t>CATAPULT</t>
        </is>
      </c>
      <c r="C7" s="19" t="inlineStr">
        <is>
          <t>NET</t>
        </is>
      </c>
      <c r="D7" s="19" t="inlineStr">
        <is>
          <t>FLASK</t>
        </is>
      </c>
      <c r="E7" s="19" t="inlineStr">
        <is>
          <t>ALARM</t>
        </is>
      </c>
      <c r="F7" s="19" t="inlineStr">
        <is>
          <t>CATAPULT</t>
        </is>
      </c>
      <c r="H7" s="19" t="inlineStr">
        <is>
          <t>MIRROR</t>
        </is>
      </c>
      <c r="I7" s="19" t="inlineStr">
        <is>
          <t>CATAPULT</t>
        </is>
      </c>
      <c r="J7" s="19" t="inlineStr">
        <is>
          <t>BIVVY</t>
        </is>
      </c>
      <c r="K7" s="19" t="inlineStr">
        <is>
          <t>BOILIE</t>
        </is>
      </c>
      <c r="L7" s="19" t="inlineStr">
        <is>
          <t>FLOAT</t>
        </is>
      </c>
    </row>
    <row r="8">
      <c r="A8" s="18" t="n">
        <v>4</v>
      </c>
      <c r="B8" s="19" t="inlineStr">
        <is>
          <t>CORN</t>
        </is>
      </c>
      <c r="C8" s="19" t="inlineStr">
        <is>
          <t>FLASK</t>
        </is>
      </c>
      <c r="D8" s="19" t="inlineStr">
        <is>
          <t>WILD</t>
        </is>
      </c>
      <c r="E8" s="19" t="inlineStr">
        <is>
          <t>WILD</t>
        </is>
      </c>
      <c r="F8" s="19" t="inlineStr">
        <is>
          <t>BIVVY</t>
        </is>
      </c>
      <c r="H8" s="19" t="inlineStr">
        <is>
          <t>PELLET</t>
        </is>
      </c>
      <c r="I8" s="19" t="inlineStr">
        <is>
          <t>NET</t>
        </is>
      </c>
      <c r="J8" s="19" t="inlineStr">
        <is>
          <t>FLASK</t>
        </is>
      </c>
      <c r="K8" s="19" t="inlineStr">
        <is>
          <t>CATAPULT</t>
        </is>
      </c>
      <c r="L8" s="19" t="inlineStr">
        <is>
          <t>TENCH</t>
        </is>
      </c>
    </row>
    <row r="9">
      <c r="A9" s="18" t="n">
        <v>5</v>
      </c>
      <c r="B9" s="19" t="inlineStr">
        <is>
          <t>FLOAT</t>
        </is>
      </c>
      <c r="C9" s="19" t="inlineStr">
        <is>
          <t>WILD</t>
        </is>
      </c>
      <c r="D9" s="19" t="inlineStr">
        <is>
          <t>FLASK</t>
        </is>
      </c>
      <c r="E9" s="19" t="inlineStr">
        <is>
          <t>PELLET</t>
        </is>
      </c>
      <c r="F9" s="19" t="inlineStr">
        <is>
          <t>PELLET</t>
        </is>
      </c>
      <c r="H9" s="19" t="inlineStr">
        <is>
          <t>FLASK</t>
        </is>
      </c>
      <c r="I9" s="19" t="inlineStr">
        <is>
          <t>WILD</t>
        </is>
      </c>
      <c r="J9" s="19" t="inlineStr">
        <is>
          <t>NET</t>
        </is>
      </c>
      <c r="K9" s="19" t="inlineStr">
        <is>
          <t>MIRROR</t>
        </is>
      </c>
      <c r="L9" s="19" t="inlineStr">
        <is>
          <t>CASH</t>
        </is>
      </c>
    </row>
    <row r="10">
      <c r="A10" s="18" t="n">
        <v>6</v>
      </c>
      <c r="B10" s="19" t="inlineStr">
        <is>
          <t>FLASK</t>
        </is>
      </c>
      <c r="C10" s="19" t="inlineStr">
        <is>
          <t>PELLET</t>
        </is>
      </c>
      <c r="D10" s="19" t="inlineStr">
        <is>
          <t>FLASK</t>
        </is>
      </c>
      <c r="E10" s="19" t="inlineStr">
        <is>
          <t>BOILIE</t>
        </is>
      </c>
      <c r="F10" s="19" t="inlineStr">
        <is>
          <t>WILD</t>
        </is>
      </c>
      <c r="H10" s="19" t="inlineStr">
        <is>
          <t>FLASK</t>
        </is>
      </c>
      <c r="I10" s="19" t="inlineStr">
        <is>
          <t>MIRROR</t>
        </is>
      </c>
      <c r="J10" s="19" t="inlineStr">
        <is>
          <t>CATAPULT</t>
        </is>
      </c>
      <c r="K10" s="19" t="inlineStr">
        <is>
          <t>WILD</t>
        </is>
      </c>
      <c r="L10" s="19" t="inlineStr">
        <is>
          <t>WILD</t>
        </is>
      </c>
    </row>
    <row r="11">
      <c r="A11" s="18" t="n">
        <v>7</v>
      </c>
      <c r="B11" s="19" t="inlineStr">
        <is>
          <t>FLOAT</t>
        </is>
      </c>
      <c r="C11" s="19" t="inlineStr">
        <is>
          <t>ROACH</t>
        </is>
      </c>
      <c r="D11" s="19" t="inlineStr">
        <is>
          <t>NET</t>
        </is>
      </c>
      <c r="E11" s="19" t="inlineStr">
        <is>
          <t>WILD</t>
        </is>
      </c>
      <c r="F11" s="19" t="inlineStr">
        <is>
          <t>NET</t>
        </is>
      </c>
      <c r="H11" s="19" t="inlineStr">
        <is>
          <t>CASH</t>
        </is>
      </c>
      <c r="I11" s="19" t="inlineStr">
        <is>
          <t>FLASK</t>
        </is>
      </c>
      <c r="J11" s="19" t="inlineStr">
        <is>
          <t>BREAM</t>
        </is>
      </c>
      <c r="K11" s="19" t="inlineStr">
        <is>
          <t>ALARM</t>
        </is>
      </c>
      <c r="L11" s="19" t="inlineStr">
        <is>
          <t>BOILIE</t>
        </is>
      </c>
    </row>
    <row r="12">
      <c r="A12" s="18" t="n">
        <v>8</v>
      </c>
      <c r="B12" s="19" t="inlineStr">
        <is>
          <t>PELLET</t>
        </is>
      </c>
      <c r="C12" s="19" t="inlineStr">
        <is>
          <t>PELLET</t>
        </is>
      </c>
      <c r="D12" s="19" t="inlineStr">
        <is>
          <t>ALARM</t>
        </is>
      </c>
      <c r="E12" s="19" t="inlineStr">
        <is>
          <t>FLOAT</t>
        </is>
      </c>
      <c r="F12" s="19" t="inlineStr">
        <is>
          <t>PELLET</t>
        </is>
      </c>
      <c r="H12" s="19" t="inlineStr">
        <is>
          <t>NET</t>
        </is>
      </c>
      <c r="I12" s="19" t="inlineStr">
        <is>
          <t>TENCH</t>
        </is>
      </c>
      <c r="J12" s="19" t="inlineStr">
        <is>
          <t>ALARM</t>
        </is>
      </c>
      <c r="K12" s="19" t="inlineStr">
        <is>
          <t>BREAM</t>
        </is>
      </c>
      <c r="L12" s="19" t="inlineStr">
        <is>
          <t>FLOAT</t>
        </is>
      </c>
    </row>
    <row r="13">
      <c r="A13" s="18" t="n">
        <v>9</v>
      </c>
      <c r="B13" s="19" t="inlineStr">
        <is>
          <t>BOILIE</t>
        </is>
      </c>
      <c r="C13" s="19" t="inlineStr">
        <is>
          <t>BIVVY</t>
        </is>
      </c>
      <c r="D13" s="19" t="inlineStr">
        <is>
          <t>BOILIE</t>
        </is>
      </c>
      <c r="E13" s="19" t="inlineStr">
        <is>
          <t>TENCH</t>
        </is>
      </c>
      <c r="F13" s="19" t="inlineStr">
        <is>
          <t>CATAPULT</t>
        </is>
      </c>
      <c r="H13" s="19" t="inlineStr">
        <is>
          <t>FLOAT</t>
        </is>
      </c>
      <c r="I13" s="19" t="inlineStr">
        <is>
          <t>ALARM</t>
        </is>
      </c>
      <c r="J13" s="19" t="inlineStr">
        <is>
          <t>FLOAT</t>
        </is>
      </c>
      <c r="K13" s="19" t="inlineStr">
        <is>
          <t>PELLET</t>
        </is>
      </c>
      <c r="L13" s="19" t="inlineStr">
        <is>
          <t>CASH</t>
        </is>
      </c>
    </row>
    <row r="14">
      <c r="A14" s="18" t="n">
        <v>10</v>
      </c>
      <c r="B14" s="19" t="inlineStr">
        <is>
          <t>CORN</t>
        </is>
      </c>
      <c r="C14" s="19" t="inlineStr">
        <is>
          <t>ALARM</t>
        </is>
      </c>
      <c r="D14" s="19" t="inlineStr">
        <is>
          <t>CORN</t>
        </is>
      </c>
      <c r="E14" s="19" t="inlineStr">
        <is>
          <t>BREAM</t>
        </is>
      </c>
      <c r="F14" s="19" t="inlineStr">
        <is>
          <t>PELLET</t>
        </is>
      </c>
      <c r="H14" s="19" t="inlineStr">
        <is>
          <t>TENCH</t>
        </is>
      </c>
      <c r="I14" s="19" t="inlineStr">
        <is>
          <t>PELLET</t>
        </is>
      </c>
      <c r="J14" s="19" t="inlineStr">
        <is>
          <t>BOILIE</t>
        </is>
      </c>
      <c r="K14" s="19" t="inlineStr">
        <is>
          <t>FLOAT</t>
        </is>
      </c>
      <c r="L14" s="19" t="inlineStr">
        <is>
          <t>FLASK</t>
        </is>
      </c>
    </row>
    <row r="15">
      <c r="A15" s="18" t="n">
        <v>11</v>
      </c>
      <c r="B15" s="19" t="inlineStr">
        <is>
          <t>BREAM</t>
        </is>
      </c>
      <c r="C15" s="19" t="inlineStr">
        <is>
          <t>NET</t>
        </is>
      </c>
      <c r="D15" s="19" t="inlineStr">
        <is>
          <t>PELLET</t>
        </is>
      </c>
      <c r="E15" s="19" t="inlineStr">
        <is>
          <t>NET</t>
        </is>
      </c>
      <c r="F15" s="19" t="inlineStr">
        <is>
          <t>BOILIE</t>
        </is>
      </c>
      <c r="H15" s="19" t="inlineStr">
        <is>
          <t>BIVVY</t>
        </is>
      </c>
      <c r="I15" s="19" t="inlineStr">
        <is>
          <t>WILD</t>
        </is>
      </c>
      <c r="J15" s="19" t="inlineStr">
        <is>
          <t>FLASK</t>
        </is>
      </c>
      <c r="K15" s="19" t="inlineStr">
        <is>
          <t>CORN</t>
        </is>
      </c>
      <c r="L15" s="19" t="inlineStr">
        <is>
          <t>CORN</t>
        </is>
      </c>
    </row>
    <row r="16">
      <c r="A16" s="18" t="n">
        <v>12</v>
      </c>
      <c r="B16" s="19" t="inlineStr">
        <is>
          <t>FLOAT</t>
        </is>
      </c>
      <c r="C16" s="19" t="inlineStr">
        <is>
          <t>WILD</t>
        </is>
      </c>
      <c r="D16" s="19" t="inlineStr">
        <is>
          <t>CORN</t>
        </is>
      </c>
      <c r="E16" s="19" t="inlineStr">
        <is>
          <t>PELLET</t>
        </is>
      </c>
      <c r="F16" s="19" t="inlineStr">
        <is>
          <t>ROACH</t>
        </is>
      </c>
      <c r="H16" s="19" t="inlineStr">
        <is>
          <t>CATAPULT</t>
        </is>
      </c>
      <c r="I16" s="19" t="inlineStr">
        <is>
          <t>BOILIE</t>
        </is>
      </c>
      <c r="J16" s="19" t="inlineStr">
        <is>
          <t>ALARM</t>
        </is>
      </c>
      <c r="K16" s="19" t="inlineStr">
        <is>
          <t>BOILIE</t>
        </is>
      </c>
      <c r="L16" s="19" t="inlineStr">
        <is>
          <t>BOILIE</t>
        </is>
      </c>
    </row>
    <row r="17">
      <c r="A17" s="18" t="n">
        <v>13</v>
      </c>
      <c r="B17" s="19" t="inlineStr">
        <is>
          <t>CORN</t>
        </is>
      </c>
      <c r="C17" s="19" t="inlineStr">
        <is>
          <t>BOILIE</t>
        </is>
      </c>
      <c r="D17" s="19" t="inlineStr">
        <is>
          <t>FLOAT</t>
        </is>
      </c>
      <c r="E17" s="19" t="inlineStr">
        <is>
          <t>FLASK</t>
        </is>
      </c>
      <c r="F17" s="19" t="inlineStr">
        <is>
          <t>CORN</t>
        </is>
      </c>
      <c r="H17" s="19" t="inlineStr">
        <is>
          <t>NET</t>
        </is>
      </c>
      <c r="I17" s="19" t="inlineStr">
        <is>
          <t>FLOAT</t>
        </is>
      </c>
      <c r="J17" s="19" t="inlineStr">
        <is>
          <t>CASH</t>
        </is>
      </c>
      <c r="K17" s="19" t="inlineStr">
        <is>
          <t>TENCH</t>
        </is>
      </c>
      <c r="L17" s="19" t="inlineStr">
        <is>
          <t>PELLET</t>
        </is>
      </c>
    </row>
    <row r="18">
      <c r="A18" s="18" t="n">
        <v>14</v>
      </c>
      <c r="B18" s="19" t="inlineStr">
        <is>
          <t>NET</t>
        </is>
      </c>
      <c r="C18" s="19" t="inlineStr">
        <is>
          <t>PELLET</t>
        </is>
      </c>
      <c r="D18" s="19" t="inlineStr">
        <is>
          <t>NET</t>
        </is>
      </c>
      <c r="E18" s="19" t="inlineStr">
        <is>
          <t>CATAPULT</t>
        </is>
      </c>
      <c r="F18" s="19" t="inlineStr">
        <is>
          <t>FLOAT</t>
        </is>
      </c>
      <c r="H18" s="19" t="inlineStr">
        <is>
          <t>CATAPULT</t>
        </is>
      </c>
      <c r="I18" s="19" t="inlineStr">
        <is>
          <t>BIVVY</t>
        </is>
      </c>
      <c r="J18" s="19" t="inlineStr">
        <is>
          <t>PELLET</t>
        </is>
      </c>
      <c r="K18" s="19" t="inlineStr">
        <is>
          <t>WILD</t>
        </is>
      </c>
      <c r="L18" s="19" t="inlineStr">
        <is>
          <t>BIVVY</t>
        </is>
      </c>
    </row>
    <row r="19">
      <c r="A19" s="18" t="n">
        <v>15</v>
      </c>
      <c r="B19" s="19" t="inlineStr">
        <is>
          <t>FLASK</t>
        </is>
      </c>
      <c r="C19" s="19" t="inlineStr">
        <is>
          <t>MIRROR</t>
        </is>
      </c>
      <c r="D19" s="19" t="inlineStr">
        <is>
          <t>FLOAT</t>
        </is>
      </c>
      <c r="E19" s="19" t="inlineStr">
        <is>
          <t>PELLET</t>
        </is>
      </c>
      <c r="F19" s="19" t="inlineStr">
        <is>
          <t>NET</t>
        </is>
      </c>
      <c r="H19" s="19" t="inlineStr">
        <is>
          <t>FLOAT</t>
        </is>
      </c>
      <c r="I19" s="19" t="inlineStr">
        <is>
          <t>WILD</t>
        </is>
      </c>
      <c r="J19" s="19" t="inlineStr">
        <is>
          <t>PELLET</t>
        </is>
      </c>
      <c r="K19" s="19" t="inlineStr">
        <is>
          <t>FLASK</t>
        </is>
      </c>
      <c r="L19" s="19" t="inlineStr">
        <is>
          <t>BREAM</t>
        </is>
      </c>
    </row>
    <row r="20">
      <c r="A20" s="18" t="n">
        <v>16</v>
      </c>
      <c r="B20" s="19" t="inlineStr">
        <is>
          <t>NET</t>
        </is>
      </c>
      <c r="C20" s="19" t="inlineStr">
        <is>
          <t>BREAM</t>
        </is>
      </c>
      <c r="D20" s="19" t="inlineStr">
        <is>
          <t>ALARM</t>
        </is>
      </c>
      <c r="E20" s="19" t="inlineStr">
        <is>
          <t>BIVVY</t>
        </is>
      </c>
      <c r="F20" s="19" t="inlineStr">
        <is>
          <t>CORN</t>
        </is>
      </c>
      <c r="H20" s="19" t="inlineStr">
        <is>
          <t>ROACH</t>
        </is>
      </c>
      <c r="I20" s="19" t="inlineStr">
        <is>
          <t>FLASK</t>
        </is>
      </c>
      <c r="J20" s="19" t="inlineStr">
        <is>
          <t>WILD</t>
        </is>
      </c>
      <c r="K20" s="19" t="inlineStr">
        <is>
          <t>CASH</t>
        </is>
      </c>
      <c r="L20" s="19" t="inlineStr">
        <is>
          <t>FLASK</t>
        </is>
      </c>
    </row>
    <row r="21">
      <c r="A21" s="18" t="n">
        <v>17</v>
      </c>
      <c r="B21" s="19" t="inlineStr">
        <is>
          <t>PELLET</t>
        </is>
      </c>
      <c r="C21" s="19" t="inlineStr">
        <is>
          <t>BOILIE</t>
        </is>
      </c>
      <c r="D21" s="19" t="inlineStr">
        <is>
          <t>TENCH</t>
        </is>
      </c>
      <c r="E21" s="19" t="inlineStr">
        <is>
          <t>WILD</t>
        </is>
      </c>
      <c r="F21" s="19" t="inlineStr">
        <is>
          <t>FLASK</t>
        </is>
      </c>
      <c r="H21" s="19" t="inlineStr">
        <is>
          <t>CORN</t>
        </is>
      </c>
      <c r="I21" s="19" t="inlineStr">
        <is>
          <t>CORN</t>
        </is>
      </c>
      <c r="J21" s="19" t="inlineStr">
        <is>
          <t>CASH</t>
        </is>
      </c>
      <c r="K21" s="19" t="inlineStr">
        <is>
          <t>BIVVY</t>
        </is>
      </c>
      <c r="L21" s="19" t="inlineStr">
        <is>
          <t>CATAPULT</t>
        </is>
      </c>
    </row>
    <row r="22">
      <c r="A22" s="18" t="n">
        <v>18</v>
      </c>
      <c r="B22" s="19" t="inlineStr">
        <is>
          <t>CATAPULT</t>
        </is>
      </c>
      <c r="C22" s="19" t="inlineStr">
        <is>
          <t>FLOAT</t>
        </is>
      </c>
      <c r="D22" s="19" t="inlineStr">
        <is>
          <t>CORN</t>
        </is>
      </c>
      <c r="E22" s="19" t="inlineStr">
        <is>
          <t>BOILIE</t>
        </is>
      </c>
      <c r="F22" s="19" t="inlineStr">
        <is>
          <t>FLASK</t>
        </is>
      </c>
      <c r="H22" s="19" t="inlineStr">
        <is>
          <t>BOILIE</t>
        </is>
      </c>
      <c r="I22" s="19" t="inlineStr">
        <is>
          <t>CORN</t>
        </is>
      </c>
      <c r="J22" s="19" t="inlineStr">
        <is>
          <t>CORN</t>
        </is>
      </c>
      <c r="K22" s="19" t="inlineStr">
        <is>
          <t>CORN</t>
        </is>
      </c>
      <c r="L22" s="19" t="inlineStr">
        <is>
          <t>CATAPULT</t>
        </is>
      </c>
    </row>
    <row r="23">
      <c r="A23" s="18" t="n">
        <v>19</v>
      </c>
      <c r="B23" s="19" t="inlineStr">
        <is>
          <t>BOILIE</t>
        </is>
      </c>
      <c r="C23" s="19" t="inlineStr">
        <is>
          <t>FLASK</t>
        </is>
      </c>
      <c r="D23" s="19" t="inlineStr">
        <is>
          <t>FLOAT</t>
        </is>
      </c>
      <c r="E23" s="19" t="inlineStr">
        <is>
          <t>FLOAT</t>
        </is>
      </c>
      <c r="F23" s="19" t="inlineStr">
        <is>
          <t>CORN</t>
        </is>
      </c>
      <c r="H23" s="19" t="inlineStr">
        <is>
          <t>BIVVY</t>
        </is>
      </c>
      <c r="I23" s="19" t="inlineStr">
        <is>
          <t>CATAPULT</t>
        </is>
      </c>
      <c r="J23" s="19" t="inlineStr">
        <is>
          <t>BIVVY</t>
        </is>
      </c>
      <c r="K23" s="19" t="inlineStr">
        <is>
          <t>FLOAT</t>
        </is>
      </c>
      <c r="L23" s="19" t="inlineStr">
        <is>
          <t>ROACH</t>
        </is>
      </c>
    </row>
    <row r="24">
      <c r="A24" s="18" t="n">
        <v>20</v>
      </c>
      <c r="B24" s="19" t="inlineStr">
        <is>
          <t>ROACH</t>
        </is>
      </c>
      <c r="C24" s="19" t="inlineStr">
        <is>
          <t>FLOAT</t>
        </is>
      </c>
      <c r="D24" s="19" t="inlineStr">
        <is>
          <t>BREAM</t>
        </is>
      </c>
      <c r="E24" s="19" t="inlineStr">
        <is>
          <t>CORN</t>
        </is>
      </c>
      <c r="F24" s="19" t="inlineStr">
        <is>
          <t>BOILIE</t>
        </is>
      </c>
      <c r="H24" s="19" t="inlineStr">
        <is>
          <t>CORN</t>
        </is>
      </c>
      <c r="I24" s="19" t="inlineStr">
        <is>
          <t>BOILIE</t>
        </is>
      </c>
      <c r="J24" s="19" t="inlineStr">
        <is>
          <t>TENCH</t>
        </is>
      </c>
      <c r="K24" s="19" t="inlineStr">
        <is>
          <t>NET</t>
        </is>
      </c>
      <c r="L24" s="19" t="inlineStr">
        <is>
          <t>CORN</t>
        </is>
      </c>
    </row>
    <row r="25">
      <c r="A25" s="18" t="n">
        <v>21</v>
      </c>
      <c r="B25" s="19" t="inlineStr">
        <is>
          <t>TENCH</t>
        </is>
      </c>
      <c r="C25" s="19" t="inlineStr">
        <is>
          <t>CORN</t>
        </is>
      </c>
      <c r="D25" s="19" t="inlineStr">
        <is>
          <t>WILD</t>
        </is>
      </c>
      <c r="E25" s="19" t="inlineStr">
        <is>
          <t>BIVVY</t>
        </is>
      </c>
      <c r="F25" s="19" t="inlineStr">
        <is>
          <t>FLOAT</t>
        </is>
      </c>
      <c r="H25" s="19" t="inlineStr">
        <is>
          <t>FLOAT</t>
        </is>
      </c>
      <c r="I25" s="19" t="inlineStr">
        <is>
          <t>CASH</t>
        </is>
      </c>
      <c r="J25" s="19" t="inlineStr">
        <is>
          <t>CATAPULT</t>
        </is>
      </c>
      <c r="K25" s="19" t="inlineStr">
        <is>
          <t>CASH</t>
        </is>
      </c>
      <c r="L25" s="19" t="inlineStr">
        <is>
          <t>PELLET</t>
        </is>
      </c>
    </row>
    <row r="26">
      <c r="A26" s="18" t="n">
        <v>22</v>
      </c>
      <c r="B26" s="19" t="inlineStr">
        <is>
          <t>FLOAT</t>
        </is>
      </c>
      <c r="C26" s="19" t="inlineStr">
        <is>
          <t>CORN</t>
        </is>
      </c>
      <c r="D26" s="19" t="inlineStr">
        <is>
          <t>BOILIE</t>
        </is>
      </c>
      <c r="E26" s="19" t="inlineStr">
        <is>
          <t>BOILIE</t>
        </is>
      </c>
      <c r="F26" s="19" t="inlineStr">
        <is>
          <t>BIVVY</t>
        </is>
      </c>
      <c r="H26" s="19" t="inlineStr">
        <is>
          <t>CASH</t>
        </is>
      </c>
      <c r="I26" s="19" t="inlineStr">
        <is>
          <t>BREAM</t>
        </is>
      </c>
      <c r="J26" s="19" t="inlineStr">
        <is>
          <t>FLOAT</t>
        </is>
      </c>
      <c r="K26" s="19" t="inlineStr">
        <is>
          <t>CATAPULT</t>
        </is>
      </c>
      <c r="L26" s="19" t="inlineStr">
        <is>
          <t>NET</t>
        </is>
      </c>
    </row>
    <row r="27">
      <c r="A27" s="18" t="n">
        <v>23</v>
      </c>
      <c r="B27" s="19" t="inlineStr">
        <is>
          <t>CATAPULT</t>
        </is>
      </c>
      <c r="C27" s="19" t="inlineStr">
        <is>
          <t>CATAPULT</t>
        </is>
      </c>
      <c r="D27" s="19" t="inlineStr">
        <is>
          <t>MIRROR</t>
        </is>
      </c>
      <c r="E27" s="19" t="inlineStr">
        <is>
          <t>FLASK</t>
        </is>
      </c>
      <c r="F27" s="19" t="inlineStr">
        <is>
          <t>CATAPULT</t>
        </is>
      </c>
      <c r="H27" s="19" t="inlineStr">
        <is>
          <t>PELLET</t>
        </is>
      </c>
      <c r="I27" s="19" t="inlineStr">
        <is>
          <t>ROACH</t>
        </is>
      </c>
      <c r="J27" s="19" t="inlineStr">
        <is>
          <t>CORN</t>
        </is>
      </c>
      <c r="K27" s="19" t="inlineStr">
        <is>
          <t>PELLET</t>
        </is>
      </c>
      <c r="L27" s="19" t="inlineStr">
        <is>
          <t>CORN</t>
        </is>
      </c>
    </row>
    <row r="28">
      <c r="A28" s="18" t="n">
        <v>24</v>
      </c>
      <c r="B28" s="19" t="inlineStr">
        <is>
          <t>FLOAT</t>
        </is>
      </c>
      <c r="C28" s="19" t="inlineStr">
        <is>
          <t>CORN</t>
        </is>
      </c>
      <c r="D28" s="19" t="inlineStr">
        <is>
          <t>WILD</t>
        </is>
      </c>
      <c r="E28" s="19" t="inlineStr">
        <is>
          <t>CORN</t>
        </is>
      </c>
      <c r="F28" s="19" t="inlineStr">
        <is>
          <t>BREAM</t>
        </is>
      </c>
      <c r="H28" s="19" t="inlineStr">
        <is>
          <t>BREAM</t>
        </is>
      </c>
      <c r="I28" s="19" t="inlineStr">
        <is>
          <t>FLASK</t>
        </is>
      </c>
      <c r="J28" s="19" t="inlineStr">
        <is>
          <t>BOILIE</t>
        </is>
      </c>
      <c r="K28" s="19" t="inlineStr">
        <is>
          <t>CORN</t>
        </is>
      </c>
      <c r="L28" s="19" t="inlineStr">
        <is>
          <t>BIVVY</t>
        </is>
      </c>
    </row>
    <row r="29">
      <c r="A29" s="18" t="n">
        <v>25</v>
      </c>
      <c r="B29" s="19" t="inlineStr">
        <is>
          <t>BOILIE</t>
        </is>
      </c>
      <c r="C29" s="19" t="inlineStr">
        <is>
          <t>PELLET</t>
        </is>
      </c>
      <c r="D29" s="19" t="inlineStr">
        <is>
          <t>PELLET</t>
        </is>
      </c>
      <c r="E29" s="19" t="inlineStr">
        <is>
          <t>MIRROR</t>
        </is>
      </c>
      <c r="F29" s="19" t="inlineStr">
        <is>
          <t>BOILIE</t>
        </is>
      </c>
      <c r="H29" s="19" t="inlineStr">
        <is>
          <t>BOILIE</t>
        </is>
      </c>
      <c r="I29" s="19" t="inlineStr">
        <is>
          <t>BOILIE</t>
        </is>
      </c>
      <c r="J29" s="19" t="inlineStr">
        <is>
          <t>CORN</t>
        </is>
      </c>
      <c r="K29" s="19" t="inlineStr">
        <is>
          <t>BIVVY</t>
        </is>
      </c>
      <c r="L29" s="19" t="inlineStr">
        <is>
          <t>PELLET</t>
        </is>
      </c>
    </row>
    <row r="30">
      <c r="A30" s="18" t="n">
        <v>26</v>
      </c>
      <c r="B30" s="19" t="inlineStr">
        <is>
          <t>FLASK</t>
        </is>
      </c>
      <c r="C30" s="19" t="inlineStr">
        <is>
          <t>WILD</t>
        </is>
      </c>
      <c r="D30" s="19" t="inlineStr">
        <is>
          <t>BIVVY</t>
        </is>
      </c>
      <c r="E30" s="19" t="inlineStr">
        <is>
          <t>PELLET</t>
        </is>
      </c>
      <c r="F30" s="19" t="inlineStr">
        <is>
          <t>CORN</t>
        </is>
      </c>
      <c r="H30" s="19" t="inlineStr">
        <is>
          <t>CORN</t>
        </is>
      </c>
      <c r="I30" s="19" t="inlineStr">
        <is>
          <t>PELLET</t>
        </is>
      </c>
      <c r="J30" s="19" t="inlineStr">
        <is>
          <t>WILD</t>
        </is>
      </c>
      <c r="K30" s="19" t="inlineStr">
        <is>
          <t>FLASK</t>
        </is>
      </c>
      <c r="L30" s="19" t="inlineStr">
        <is>
          <t>BOILIE</t>
        </is>
      </c>
    </row>
    <row r="31">
      <c r="A31" s="18" t="n">
        <v>27</v>
      </c>
      <c r="B31" s="19" t="inlineStr">
        <is>
          <t>PELLET</t>
        </is>
      </c>
      <c r="C31" s="19" t="inlineStr">
        <is>
          <t>BOILIE</t>
        </is>
      </c>
      <c r="D31" s="19" t="inlineStr">
        <is>
          <t>CATAPULT</t>
        </is>
      </c>
      <c r="E31" s="19" t="inlineStr">
        <is>
          <t>CORN</t>
        </is>
      </c>
      <c r="F31" s="19" t="inlineStr">
        <is>
          <t>FLASK</t>
        </is>
      </c>
      <c r="H31" s="19" t="inlineStr">
        <is>
          <t>PELLET</t>
        </is>
      </c>
      <c r="I31" s="19" t="inlineStr">
        <is>
          <t>CASH</t>
        </is>
      </c>
      <c r="J31" s="19" t="inlineStr">
        <is>
          <t>MIRROR</t>
        </is>
      </c>
      <c r="K31" s="19" t="inlineStr">
        <is>
          <t>FLASK</t>
        </is>
      </c>
      <c r="L31" s="19" t="inlineStr">
        <is>
          <t>MIRROR</t>
        </is>
      </c>
    </row>
    <row r="32">
      <c r="A32" s="18" t="n">
        <v>28</v>
      </c>
      <c r="B32" s="19" t="inlineStr">
        <is>
          <t>BIVVY</t>
        </is>
      </c>
      <c r="C32" s="19" t="inlineStr">
        <is>
          <t>CATAPULT</t>
        </is>
      </c>
      <c r="D32" s="19" t="inlineStr">
        <is>
          <t>PELLET</t>
        </is>
      </c>
      <c r="E32" s="19" t="inlineStr">
        <is>
          <t>FLASK</t>
        </is>
      </c>
      <c r="F32" s="19" t="inlineStr">
        <is>
          <t>MIRROR</t>
        </is>
      </c>
      <c r="H32" s="19" t="inlineStr">
        <is>
          <t>FLASK</t>
        </is>
      </c>
      <c r="I32" s="19" t="inlineStr">
        <is>
          <t>CORN</t>
        </is>
      </c>
      <c r="J32" s="19" t="inlineStr">
        <is>
          <t>ROACH</t>
        </is>
      </c>
      <c r="K32" s="19" t="inlineStr">
        <is>
          <t>NET</t>
        </is>
      </c>
      <c r="L32" s="19" t="inlineStr">
        <is>
          <t>NET</t>
        </is>
      </c>
    </row>
    <row r="33">
      <c r="A33" s="18" t="n">
        <v>29</v>
      </c>
      <c r="B33" s="19" t="inlineStr">
        <is>
          <t>BIVVY</t>
        </is>
      </c>
      <c r="C33" s="19" t="inlineStr">
        <is>
          <t>FLASK</t>
        </is>
      </c>
      <c r="D33" s="19" t="inlineStr">
        <is>
          <t>BOILIE</t>
        </is>
      </c>
      <c r="E33" s="19" t="inlineStr">
        <is>
          <t>NET</t>
        </is>
      </c>
      <c r="F33" s="19" t="inlineStr">
        <is>
          <t>PELLET</t>
        </is>
      </c>
      <c r="H33" s="19" t="inlineStr">
        <is>
          <t>PELLET</t>
        </is>
      </c>
      <c r="I33" s="19" t="inlineStr">
        <is>
          <t>BIVVY</t>
        </is>
      </c>
      <c r="J33" s="19" t="inlineStr">
        <is>
          <t>BOILIE</t>
        </is>
      </c>
      <c r="K33" s="19" t="inlineStr">
        <is>
          <t>CASH</t>
        </is>
      </c>
      <c r="L33" s="19" t="inlineStr">
        <is>
          <t>FLOAT</t>
        </is>
      </c>
    </row>
    <row r="34">
      <c r="A34" s="18" t="n">
        <v>30</v>
      </c>
      <c r="B34" s="19" t="inlineStr">
        <is>
          <t>PELLET</t>
        </is>
      </c>
      <c r="C34" s="19" t="inlineStr">
        <is>
          <t>TENCH</t>
        </is>
      </c>
      <c r="D34" s="19" t="inlineStr">
        <is>
          <t>CORN</t>
        </is>
      </c>
      <c r="E34" s="19" t="inlineStr">
        <is>
          <t>ALARM</t>
        </is>
      </c>
      <c r="F34" s="19" t="inlineStr">
        <is>
          <t>FLOAT</t>
        </is>
      </c>
      <c r="H34" s="19" t="inlineStr">
        <is>
          <t>CORN</t>
        </is>
      </c>
      <c r="I34" s="19" t="inlineStr">
        <is>
          <t>PELLET</t>
        </is>
      </c>
      <c r="J34" s="19" t="inlineStr">
        <is>
          <t>WILD</t>
        </is>
      </c>
      <c r="K34" s="19" t="inlineStr">
        <is>
          <t>PELLET</t>
        </is>
      </c>
      <c r="L34" s="19" t="inlineStr">
        <is>
          <t>CATAPULT</t>
        </is>
      </c>
    </row>
    <row r="35">
      <c r="A35" s="18" t="n">
        <v>31</v>
      </c>
      <c r="B35" s="19" t="inlineStr">
        <is>
          <t>BOILIE</t>
        </is>
      </c>
      <c r="C35" s="19" t="inlineStr">
        <is>
          <t>ALARM</t>
        </is>
      </c>
      <c r="D35" s="19" t="inlineStr">
        <is>
          <t>PELLET</t>
        </is>
      </c>
      <c r="E35" s="19" t="inlineStr">
        <is>
          <t>FLOAT</t>
        </is>
      </c>
      <c r="F35" s="19" t="inlineStr">
        <is>
          <t>TENCH</t>
        </is>
      </c>
      <c r="H35" s="19" t="inlineStr">
        <is>
          <t>CASH</t>
        </is>
      </c>
      <c r="I35" s="19" t="inlineStr">
        <is>
          <t>ALARM</t>
        </is>
      </c>
      <c r="J35" s="19" t="inlineStr">
        <is>
          <t>CASH</t>
        </is>
      </c>
      <c r="K35" s="19" t="inlineStr">
        <is>
          <t>BOILIE</t>
        </is>
      </c>
      <c r="L35" s="19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2026-10-12T08:23:42Z</dcterms:created>
  <dcterms:modified xsi:type="dcterms:W3CDTF">2026-10-12T08:23:42Z</dcterms:modified>
</cp:coreProperties>
</file>