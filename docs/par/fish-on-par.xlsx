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aytable" sheetId="2" state="visible" r:id="rId4"/>
    <sheet name="Reel Strips" sheetId="3" state="visible" r:id="rId5"/>
    <sheet name="Line Wins Base" sheetId="4" state="visible" r:id="rId6"/>
    <sheet name="Line Wins Free Spins" sheetId="5" state="visible" r:id="rId7"/>
    <sheet name="Fish Values" sheetId="6" state="visible" r:id="rId8"/>
    <sheet name="Free Spins Feature" sheetId="7" state="visible" r:id="rId9"/>
    <sheet name="Win Distribution" sheetId="8" state="visible" r:id="rId10"/>
    <sheet name="Strip Listin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<sst xmlns="http://schemas.openxmlformats.org/spreadsheetml/2006/main" count="648" uniqueCount="189">
  <si>
    <t xml:space="preserve">Fish On! - PAR sheet (probability accounting report)</t>
  </si>
  <si>
    <t xml:space="preserve">v1.0 demo | 5x3, 10 fixed lines | generated 2026-10-07 | design figures, NOT independently certified</t>
  </si>
  <si>
    <t xml:space="preserve">Measure</t>
  </si>
  <si>
    <t xml:space="preserve">Value</t>
  </si>
  <si>
    <t xml:space="preserve">Source</t>
  </si>
  <si>
    <t xml:space="preserve">Theoretical RTP (exact, uncapped)</t>
  </si>
  <si>
    <t xml:space="preserve">Exact from strips (formulas in this workbook)</t>
  </si>
  <si>
    <t xml:space="preserve">  of which base game line wins</t>
  </si>
  <si>
    <t xml:space="preserve">Line Wins Base</t>
  </si>
  <si>
    <t xml:space="preserve">  of which free spins feature</t>
  </si>
  <si>
    <t xml:space="preserve">Free Spins Feature</t>
  </si>
  <si>
    <t xml:space="preserve">Simulated RTP</t>
  </si>
  <si>
    <t xml:space="preserve">Simulation, 50,000,000 rounds</t>
  </si>
  <si>
    <t xml:space="preserve">Simulated RTP 95% confidence (+/-)</t>
  </si>
  <si>
    <t xml:space="preserve">1.96 x SD / sqrt(rounds)</t>
  </si>
  <si>
    <t xml:space="preserve">Hit frequency (any line win in base spin)</t>
  </si>
  <si>
    <t xml:space="preserve">Simulation</t>
  </si>
  <si>
    <t xml:space="preserve">Feature frequency: 1 in</t>
  </si>
  <si>
    <t xml:space="preserve">Exact</t>
  </si>
  <si>
    <t xml:space="preserve">Expected free spins per feature</t>
  </si>
  <si>
    <t xml:space="preserve">Expected feature win (x stake)</t>
  </si>
  <si>
    <t xml:space="preserve">Exact (uncapped)</t>
  </si>
  <si>
    <t xml:space="preserve">Volatility (standard deviation, x stake)</t>
  </si>
  <si>
    <t xml:space="preserve">Returns below stake (0 &lt; win &lt; 1x)</t>
  </si>
  <si>
    <t xml:space="preserve">Simulation; not celebrated (RTS 14F)</t>
  </si>
  <si>
    <t xml:space="preserve">Highest win in simulation (x stake)</t>
  </si>
  <si>
    <t xml:space="preserve">Maximum win cap per round (x stake)</t>
  </si>
  <si>
    <t xml:space="preserve">engine.js MAX_WIN</t>
  </si>
  <si>
    <t xml:space="preserve">Rounds that hit the cap in simulation</t>
  </si>
  <si>
    <t xml:space="preserve">Stake range (GB)</t>
  </si>
  <si>
    <t xml:space="preserve">£0.10 to £5.00 (£2.00 max for ages 18 to 24)</t>
  </si>
  <si>
    <t xml:space="preserve">GB online slots stake limits 2025; operator may set lower</t>
  </si>
  <si>
    <t xml:space="preserve">Colour key: blue = input from game files or simulation; black = formula; green = link to another sheet.</t>
  </si>
  <si>
    <t xml:space="preserve">Exact figures assume the 5,000x cap is never reached; the simulation never reached it, so the effect is negligible.</t>
  </si>
  <si>
    <t xml:space="preserve">Simulation uses the production engine (client/src/engine.js) with a seeded PRNG for repeatability.</t>
  </si>
  <si>
    <t xml:space="preserve">Regenerate: node math/par_sheet.mjs 50000000 then python math/par_xlsx.py</t>
  </si>
  <si>
    <t xml:space="preserve">This is the developer's design PAR. Certification by a UKGC-approved test house is required before real-money use.</t>
  </si>
  <si>
    <t xml:space="preserve">Paytable (line pays)</t>
  </si>
  <si>
    <t xml:space="preserve">Units are per line as stored in engine.js; x stake = units / 10 (10 lines, stake = total bet). Wild substitutes for all line symbols.</t>
  </si>
  <si>
    <t xml:space="preserve">Symbol</t>
  </si>
  <si>
    <t xml:space="preserve">Code</t>
  </si>
  <si>
    <t xml:space="preserve">Tier</t>
  </si>
  <si>
    <t xml:space="preserve">3 (units)</t>
  </si>
  <si>
    <t xml:space="preserve">4 (units)</t>
  </si>
  <si>
    <t xml:space="preserve">5 (units)</t>
  </si>
  <si>
    <t xml:space="preserve">3 (x stake)</t>
  </si>
  <si>
    <t xml:space="preserve">4 (x stake)</t>
  </si>
  <si>
    <t xml:space="preserve">5 (x stake)</t>
  </si>
  <si>
    <t xml:space="preserve">Float</t>
  </si>
  <si>
    <t xml:space="preserve">FLOAT</t>
  </si>
  <si>
    <t xml:space="preserve">Low</t>
  </si>
  <si>
    <t xml:space="preserve">Boilies</t>
  </si>
  <si>
    <t xml:space="preserve">BOILIE</t>
  </si>
  <si>
    <t xml:space="preserve">Sweetcorn</t>
  </si>
  <si>
    <t xml:space="preserve">CORN</t>
  </si>
  <si>
    <t xml:space="preserve">Pellets</t>
  </si>
  <si>
    <t xml:space="preserve">PELLET</t>
  </si>
  <si>
    <t xml:space="preserve">Flask</t>
  </si>
  <si>
    <t xml:space="preserve">FLASK</t>
  </si>
  <si>
    <t xml:space="preserve">Mid</t>
  </si>
  <si>
    <t xml:space="preserve">Catapult</t>
  </si>
  <si>
    <t xml:space="preserve">CATAPULT</t>
  </si>
  <si>
    <t xml:space="preserve">Landing Net</t>
  </si>
  <si>
    <t xml:space="preserve">NET</t>
  </si>
  <si>
    <t xml:space="preserve">Bivvy</t>
  </si>
  <si>
    <t xml:space="preserve">BIVVY</t>
  </si>
  <si>
    <t xml:space="preserve">Roach</t>
  </si>
  <si>
    <t xml:space="preserve">ROACH</t>
  </si>
  <si>
    <t xml:space="preserve">High</t>
  </si>
  <si>
    <t xml:space="preserve">Bream</t>
  </si>
  <si>
    <t xml:space="preserve">BREAM</t>
  </si>
  <si>
    <t xml:space="preserve">Tench</t>
  </si>
  <si>
    <t xml:space="preserve">TENCH</t>
  </si>
  <si>
    <t xml:space="preserve">Mirror Carp</t>
  </si>
  <si>
    <t xml:space="preserve">MIRROR</t>
  </si>
  <si>
    <t xml:space="preserve">Source: client/src/engine.js PAY table. Five wilds on a line pay as Mirror Carp x5.</t>
  </si>
  <si>
    <t xml:space="preserve">Reel strip symbol counts and stop probabilities</t>
  </si>
  <si>
    <t xml:space="preserve">Counts from client/strips.json (each reel stops uniformly on one of its 32 positions). Probability = count / strip length.</t>
  </si>
  <si>
    <t xml:space="preserve">Base game strips</t>
  </si>
  <si>
    <t xml:space="preserve">Reel 1</t>
  </si>
  <si>
    <t xml:space="preserve">Reel 2</t>
  </si>
  <si>
    <t xml:space="preserve">Reel 3</t>
  </si>
  <si>
    <t xml:space="preserve">Reel 4</t>
  </si>
  <si>
    <t xml:space="preserve">Reel 5</t>
  </si>
  <si>
    <t xml:space="preserve">P reel 1</t>
  </si>
  <si>
    <t xml:space="preserve">P reel 2</t>
  </si>
  <si>
    <t xml:space="preserve">P reel 3</t>
  </si>
  <si>
    <t xml:space="preserve">P reel 4</t>
  </si>
  <si>
    <t xml:space="preserve">P reel 5</t>
  </si>
  <si>
    <t xml:space="preserve">Leather Carp (Wild)</t>
  </si>
  <si>
    <t xml:space="preserve">Bite Alarm (Scatter)</t>
  </si>
  <si>
    <t xml:space="preserve">Specimen Fish (Cash)</t>
  </si>
  <si>
    <t xml:space="preserve">Strip length</t>
  </si>
  <si>
    <t xml:space="preserve">Free spins strips</t>
  </si>
  <si>
    <t xml:space="preserve">Line Wins Base: exact probability per payline</t>
  </si>
  <si>
    <t xml:space="preserve">Formula: the first non-wild symbol on the line is the target; wilds before/after it count; the next symbol must break the run. Probabilities come from Reel Strips; RTP contribution = probability x pay (x stake) x 10 lines.</t>
  </si>
  <si>
    <t xml:space="preserve">Count</t>
  </si>
  <si>
    <t xml:space="preserve">P (per line)</t>
  </si>
  <si>
    <t xml:space="preserve">Pay (x stake)</t>
  </si>
  <si>
    <t xml:space="preserve">RTP contribution</t>
  </si>
  <si>
    <t xml:space="preserve">Check: engine exact</t>
  </si>
  <si>
    <t xml:space="preserve">Total line RTP</t>
  </si>
  <si>
    <t xml:space="preserve">Max difference vs engine exact (should be ~0)</t>
  </si>
  <si>
    <t xml:space="preserve">Column F: same probability computed independently by math/par_sheet.mjs from the engine rules (cross-check).</t>
  </si>
  <si>
    <t xml:space="preserve">Line Wins Free Spins: exact probability per payline</t>
  </si>
  <si>
    <t xml:space="preserve">Specimen Fish (cash) values in free spins</t>
  </si>
  <si>
    <t xml:space="preserve">Each Specimen Fish that lands is weighed: one weight is drawn with the probabilities below and paid at once.</t>
  </si>
  <si>
    <t xml:space="preserve">Weight</t>
  </si>
  <si>
    <t xml:space="preserve">Prize (x stake)</t>
  </si>
  <si>
    <t xml:space="preserve">Draw weight</t>
  </si>
  <si>
    <t xml:space="preserve">Probability</t>
  </si>
  <si>
    <t xml:space="preserve">Contribution to mean</t>
  </si>
  <si>
    <t xml:space="preserve">1 in</t>
  </si>
  <si>
    <t xml:space="preserve">2lb 4oz</t>
  </si>
  <si>
    <t xml:space="preserve">4lb 0oz</t>
  </si>
  <si>
    <t xml:space="preserve">6lb 8oz</t>
  </si>
  <si>
    <t xml:space="preserve">9lb 12oz</t>
  </si>
  <si>
    <t xml:space="preserve">14lb 0oz</t>
  </si>
  <si>
    <t xml:space="preserve">19lb 8oz</t>
  </si>
  <si>
    <t xml:space="preserve">26lb 0oz</t>
  </si>
  <si>
    <t xml:space="preserve">32lb 8oz</t>
  </si>
  <si>
    <t xml:space="preserve">38lb 12oz</t>
  </si>
  <si>
    <t xml:space="preserve">45lb 4oz</t>
  </si>
  <si>
    <t xml:space="preserve">52lb 0oz</t>
  </si>
  <si>
    <t xml:space="preserve">64lb 8oz</t>
  </si>
  <si>
    <t xml:space="preserve">Mean fish value</t>
  </si>
  <si>
    <t xml:space="preserve">Source: FISH table in client/src/engine.js. Record fish: 52lb 0oz (250x) and 64lb 8oz (1,000x).</t>
  </si>
  <si>
    <t xml:space="preserve">Three Rods free spins</t>
  </si>
  <si>
    <t xml:space="preserve">Trigger: a Bite Alarm visible on each of reels 2, 3 and 4 (any row). 10 free spins; 3 alarms in free spins add 5 more.</t>
  </si>
  <si>
    <t xml:space="preserve">Item</t>
  </si>
  <si>
    <t xml:space="preserve">Notes</t>
  </si>
  <si>
    <t xml:space="preserve">P(alarm visible) reel 2, base</t>
  </si>
  <si>
    <t xml:space="preserve">Share of stops whose 3-row window contains an alarm (from strips.json)</t>
  </si>
  <si>
    <t xml:space="preserve">P(alarm visible) reel 3, base</t>
  </si>
  <si>
    <t xml:space="preserve">P(alarm visible) reel 4, base</t>
  </si>
  <si>
    <t xml:space="preserve">P(trigger) per base spin</t>
  </si>
  <si>
    <t xml:space="preserve">Reels stop independently</t>
  </si>
  <si>
    <t xml:space="preserve">Trigger: 1 in</t>
  </si>
  <si>
    <t xml:space="preserve">P(alarm visible) reel 2, free spins</t>
  </si>
  <si>
    <t xml:space="preserve">P(alarm visible) reel 3, free spins</t>
  </si>
  <si>
    <t xml:space="preserve">P(alarm visible) reel 4, free spins</t>
  </si>
  <si>
    <t xml:space="preserve">P(retrigger) per free spin</t>
  </si>
  <si>
    <t xml:space="preserve">Each spin adds 5 x P(retrigger) spins on average: 10 / (1 - 5q)</t>
  </si>
  <si>
    <t xml:space="preserve">Expected Specimen Fish per free spin</t>
  </si>
  <si>
    <t xml:space="preserve">3 visible rows x P(cash) summed over reels</t>
  </si>
  <si>
    <t xml:space="preserve">From Fish Values</t>
  </si>
  <si>
    <t xml:space="preserve">Free-spin line RTP per spin</t>
  </si>
  <si>
    <t xml:space="preserve">From Line Wins Free Spins</t>
  </si>
  <si>
    <t xml:space="preserve">Expected win per free spin</t>
  </si>
  <si>
    <t xml:space="preserve">Line wins + fish collected</t>
  </si>
  <si>
    <t xml:space="preserve">Expected feature win (uncapped)</t>
  </si>
  <si>
    <t xml:space="preserve">Ignores the 5,000x cap (never reached in simulation)</t>
  </si>
  <si>
    <t xml:space="preserve">Feature RTP contribution</t>
  </si>
  <si>
    <t xml:space="preserve">P(trigger) x expected feature win</t>
  </si>
  <si>
    <t xml:space="preserve">Win distribution (simulation of the production engine, 50,000,000 rounds, seed 2026)</t>
  </si>
  <si>
    <t xml:space="preserve">Total win per game round (base spin + any free spins) as a multiple of stake. Rounds counted by math/par_sheet.mjs.</t>
  </si>
  <si>
    <t xml:space="preserve">Rounds simulated</t>
  </si>
  <si>
    <t xml:space="preserve">Win band</t>
  </si>
  <si>
    <t xml:space="preserve">Rounds</t>
  </si>
  <si>
    <t xml:space="preserve">No win</t>
  </si>
  <si>
    <t xml:space="preserve">Below stake (0 &lt; x &lt; 1)</t>
  </si>
  <si>
    <t xml:space="preserve">1x to &lt;2x</t>
  </si>
  <si>
    <t xml:space="preserve">2x to &lt;5x</t>
  </si>
  <si>
    <t xml:space="preserve">5x to &lt;10x</t>
  </si>
  <si>
    <t xml:space="preserve">10x to &lt;20x</t>
  </si>
  <si>
    <t xml:space="preserve">20x to &lt;50x</t>
  </si>
  <si>
    <t xml:space="preserve">50x to &lt;100x</t>
  </si>
  <si>
    <t xml:space="preserve">100x to &lt;250x</t>
  </si>
  <si>
    <t xml:space="preserve">250x to &lt;500x</t>
  </si>
  <si>
    <t xml:space="preserve">500x to &lt;1,000x</t>
  </si>
  <si>
    <t xml:space="preserve">1,000x to &lt;5,000x</t>
  </si>
  <si>
    <t xml:space="preserve">5,000x (cap)</t>
  </si>
  <si>
    <t xml:space="preserve">Total</t>
  </si>
  <si>
    <t xml:space="preserve">RTP contribution per band is the simulated sum of wins in that band divided by rounds (input from the simulation).</t>
  </si>
  <si>
    <t xml:space="preserve">Full reel strips (stop order)</t>
  </si>
  <si>
    <t xml:space="preserve">Stop</t>
  </si>
  <si>
    <t xml:space="preserve">Base R1</t>
  </si>
  <si>
    <t xml:space="preserve">Base R2</t>
  </si>
  <si>
    <t xml:space="preserve">Base R3</t>
  </si>
  <si>
    <t xml:space="preserve">Base R4</t>
  </si>
  <si>
    <t xml:space="preserve">Base R5</t>
  </si>
  <si>
    <t xml:space="preserve">FS R1</t>
  </si>
  <si>
    <t xml:space="preserve">FS R2</t>
  </si>
  <si>
    <t xml:space="preserve">FS R3</t>
  </si>
  <si>
    <t xml:space="preserve">FS R4</t>
  </si>
  <si>
    <t xml:space="preserve">FS R5</t>
  </si>
  <si>
    <t xml:space="preserve">WILD</t>
  </si>
  <si>
    <t xml:space="preserve">ALARM</t>
  </si>
  <si>
    <t xml:space="preserve">CASH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</si>
</sst>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0%"/>
    <numFmt numFmtId="166" formatCode="#,##0.0"/>
    <numFmt numFmtId="167" formatCode="0.00"/>
    <numFmt numFmtId="168" formatCode="0.00\x"/>
    <numFmt numFmtId="169" formatCode="#,##0.0\x"/>
    <numFmt numFmtId="170" formatCode="#,##0\x"/>
    <numFmt numFmtId="171" formatCode="#,##0"/>
    <numFmt numFmtId="172" formatCode="0.0000"/>
    <numFmt numFmtId="173" formatCode="0.0000000"/>
    <numFmt numFmtId="174" formatCode="0.0E+00"/>
    <numFmt numFmtId="175" formatCode="0.0000%"/>
    <numFmt numFmtId="176" formatCode="0.0000\x"/>
    <numFmt numFmtId="177" formatCode="0.000"/>
    <numFmt numFmtId="178" formatCode="0.0000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'Line Wins Base'!E41+'Free Spins Feature'!B20</f>
        <v>0.961424891620273</v>
      </c>
      <c r="C5" s="2" t="s">
        <v>6</v>
      </c>
    </row>
    <row r="6" customFormat="false" ht="15" hidden="false" customHeight="false" outlineLevel="0" collapsed="false">
      <c r="A6" s="6" t="s">
        <v>7</v>
      </c>
      <c r="B6" s="7" t="n">
        <f aca="false">'Line Wins Base'!E41</f>
        <v>0.541401922702789</v>
      </c>
      <c r="C6" s="2" t="s">
        <v>8</v>
      </c>
    </row>
    <row r="7" customFormat="false" ht="15" hidden="false" customHeight="false" outlineLevel="0" collapsed="false">
      <c r="A7" s="6" t="s">
        <v>9</v>
      </c>
      <c r="B7" s="7" t="n">
        <f aca="false">'Free Spins Feature'!B20</f>
        <v>0.420022968917484</v>
      </c>
      <c r="C7" s="2" t="s">
        <v>10</v>
      </c>
    </row>
    <row r="8" customFormat="false" ht="15" hidden="false" customHeight="false" outlineLevel="0" collapsed="false">
      <c r="A8" s="4" t="s">
        <v>11</v>
      </c>
      <c r="B8" s="8" t="n">
        <v>0.960591349977006</v>
      </c>
      <c r="C8" s="2" t="s">
        <v>12</v>
      </c>
    </row>
    <row r="9" customFormat="false" ht="15" hidden="false" customHeight="false" outlineLevel="0" collapsed="false">
      <c r="A9" s="6" t="s">
        <v>13</v>
      </c>
      <c r="B9" s="9" t="n">
        <v>0.00200332576707269</v>
      </c>
      <c r="C9" s="2" t="s">
        <v>14</v>
      </c>
    </row>
    <row r="10" customFormat="false" ht="15" hidden="false" customHeight="false" outlineLevel="0" collapsed="false">
      <c r="A10" s="6" t="s">
        <v>15</v>
      </c>
      <c r="B10" s="9" t="n">
        <v>0.25495222</v>
      </c>
      <c r="C10" s="2" t="s">
        <v>16</v>
      </c>
    </row>
    <row r="11" customFormat="false" ht="15" hidden="false" customHeight="false" outlineLevel="0" collapsed="false">
      <c r="A11" s="6" t="s">
        <v>17</v>
      </c>
      <c r="B11" s="10" t="n">
        <f aca="false">'Free Spins Feature'!B9</f>
        <v>151.703703703704</v>
      </c>
      <c r="C11" s="2" t="s">
        <v>18</v>
      </c>
    </row>
    <row r="12" customFormat="false" ht="15" hidden="false" customHeight="false" outlineLevel="0" collapsed="false">
      <c r="A12" s="6" t="s">
        <v>19</v>
      </c>
      <c r="B12" s="11" t="n">
        <f aca="false">'Free Spins Feature'!B14</f>
        <v>10.3408230244888</v>
      </c>
      <c r="C12" s="2" t="s">
        <v>18</v>
      </c>
    </row>
    <row r="13" customFormat="false" ht="15" hidden="false" customHeight="false" outlineLevel="0" collapsed="false">
      <c r="A13" s="6" t="s">
        <v>20</v>
      </c>
      <c r="B13" s="12" t="n">
        <f aca="false">'Free Spins Feature'!B19</f>
        <v>63.719040025408</v>
      </c>
      <c r="C13" s="2" t="s">
        <v>21</v>
      </c>
    </row>
    <row r="14" customFormat="false" ht="15" hidden="false" customHeight="false" outlineLevel="0" collapsed="false">
      <c r="A14" s="6" t="s">
        <v>22</v>
      </c>
      <c r="B14" s="13" t="n">
        <v>7.22737364705533</v>
      </c>
      <c r="C14" s="2" t="s">
        <v>16</v>
      </c>
    </row>
    <row r="15" customFormat="false" ht="15" hidden="false" customHeight="false" outlineLevel="0" collapsed="false">
      <c r="A15" s="6" t="s">
        <v>23</v>
      </c>
      <c r="B15" s="9" t="n">
        <v>0.11144686</v>
      </c>
      <c r="C15" s="2" t="s">
        <v>24</v>
      </c>
    </row>
    <row r="16" customFormat="false" ht="15" hidden="false" customHeight="false" outlineLevel="0" collapsed="false">
      <c r="A16" s="6" t="s">
        <v>25</v>
      </c>
      <c r="B16" s="14" t="n">
        <v>2066.6</v>
      </c>
      <c r="C16" s="2" t="s">
        <v>16</v>
      </c>
    </row>
    <row r="17" customFormat="false" ht="15" hidden="false" customHeight="false" outlineLevel="0" collapsed="false">
      <c r="A17" s="6" t="s">
        <v>26</v>
      </c>
      <c r="B17" s="15" t="n">
        <v>5000</v>
      </c>
      <c r="C17" s="2" t="s">
        <v>27</v>
      </c>
    </row>
    <row r="18" customFormat="false" ht="15" hidden="false" customHeight="false" outlineLevel="0" collapsed="false">
      <c r="A18" s="6" t="s">
        <v>28</v>
      </c>
      <c r="B18" s="16" t="n">
        <v>0</v>
      </c>
      <c r="C18" s="2" t="s">
        <v>16</v>
      </c>
    </row>
    <row r="19" customFormat="false" ht="15" hidden="false" customHeight="false" outlineLevel="0" collapsed="false">
      <c r="A19" s="6" t="s">
        <v>29</v>
      </c>
      <c r="B19" s="17" t="s">
        <v>30</v>
      </c>
      <c r="C19" s="2" t="s">
        <v>31</v>
      </c>
    </row>
    <row r="22" customFormat="false" ht="15" hidden="false" customHeight="false" outlineLevel="0" collapsed="false">
      <c r="A22" s="2" t="s">
        <v>32</v>
      </c>
    </row>
    <row r="23" customFormat="false" ht="15" hidden="false" customHeight="false" outlineLevel="0" collapsed="false">
      <c r="A23" s="2" t="s">
        <v>33</v>
      </c>
    </row>
    <row r="24" customFormat="false" ht="15" hidden="false" customHeight="false" outlineLevel="0" collapsed="false">
      <c r="A24" s="2" t="s">
        <v>34</v>
      </c>
    </row>
    <row r="25" customFormat="false" ht="15" hidden="false" customHeight="false" outlineLevel="0" collapsed="false">
      <c r="A25" s="2" t="s">
        <v>35</v>
      </c>
    </row>
    <row r="26" customFormat="false" ht="15" hidden="false" customHeight="false" outlineLevel="0" collapsed="false">
      <c r="A26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9" min="7" style="0" width="11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</row>
    <row r="5" customFormat="false" ht="15" hidden="false" customHeight="false" outlineLevel="0" collapsed="false">
      <c r="A5" s="6" t="s">
        <v>48</v>
      </c>
      <c r="B5" s="6" t="s">
        <v>49</v>
      </c>
      <c r="C5" s="6" t="s">
        <v>50</v>
      </c>
      <c r="D5" s="17" t="n">
        <v>6</v>
      </c>
      <c r="E5" s="17" t="n">
        <v>15</v>
      </c>
      <c r="F5" s="17" t="n">
        <v>30</v>
      </c>
      <c r="G5" s="18" t="n">
        <f aca="false">D5/10</f>
        <v>0.6</v>
      </c>
      <c r="H5" s="18" t="n">
        <f aca="false">E5/10</f>
        <v>1.5</v>
      </c>
      <c r="I5" s="18" t="n">
        <f aca="false">F5/10</f>
        <v>3</v>
      </c>
    </row>
    <row r="6" customFormat="false" ht="15" hidden="false" customHeight="false" outlineLevel="0" collapsed="false">
      <c r="A6" s="6" t="s">
        <v>51</v>
      </c>
      <c r="B6" s="6" t="s">
        <v>52</v>
      </c>
      <c r="C6" s="6" t="s">
        <v>50</v>
      </c>
      <c r="D6" s="17" t="n">
        <v>6</v>
      </c>
      <c r="E6" s="17" t="n">
        <v>15</v>
      </c>
      <c r="F6" s="17" t="n">
        <v>30</v>
      </c>
      <c r="G6" s="18" t="n">
        <f aca="false">D6/10</f>
        <v>0.6</v>
      </c>
      <c r="H6" s="18" t="n">
        <f aca="false">E6/10</f>
        <v>1.5</v>
      </c>
      <c r="I6" s="18" t="n">
        <f aca="false">F6/10</f>
        <v>3</v>
      </c>
    </row>
    <row r="7" customFormat="false" ht="15" hidden="false" customHeight="false" outlineLevel="0" collapsed="false">
      <c r="A7" s="6" t="s">
        <v>53</v>
      </c>
      <c r="B7" s="6" t="s">
        <v>54</v>
      </c>
      <c r="C7" s="6" t="s">
        <v>50</v>
      </c>
      <c r="D7" s="17" t="n">
        <v>9</v>
      </c>
      <c r="E7" s="17" t="n">
        <v>24</v>
      </c>
      <c r="F7" s="17" t="n">
        <v>45</v>
      </c>
      <c r="G7" s="18" t="n">
        <f aca="false">D7/10</f>
        <v>0.9</v>
      </c>
      <c r="H7" s="18" t="n">
        <f aca="false">E7/10</f>
        <v>2.4</v>
      </c>
      <c r="I7" s="18" t="n">
        <f aca="false">F7/10</f>
        <v>4.5</v>
      </c>
    </row>
    <row r="8" customFormat="false" ht="15" hidden="false" customHeight="false" outlineLevel="0" collapsed="false">
      <c r="A8" s="6" t="s">
        <v>55</v>
      </c>
      <c r="B8" s="6" t="s">
        <v>56</v>
      </c>
      <c r="C8" s="6" t="s">
        <v>50</v>
      </c>
      <c r="D8" s="17" t="n">
        <v>9</v>
      </c>
      <c r="E8" s="17" t="n">
        <v>24</v>
      </c>
      <c r="F8" s="17" t="n">
        <v>45</v>
      </c>
      <c r="G8" s="18" t="n">
        <f aca="false">D8/10</f>
        <v>0.9</v>
      </c>
      <c r="H8" s="18" t="n">
        <f aca="false">E8/10</f>
        <v>2.4</v>
      </c>
      <c r="I8" s="18" t="n">
        <f aca="false">F8/10</f>
        <v>4.5</v>
      </c>
    </row>
    <row r="9" customFormat="false" ht="15" hidden="false" customHeight="false" outlineLevel="0" collapsed="false">
      <c r="A9" s="6" t="s">
        <v>57</v>
      </c>
      <c r="B9" s="6" t="s">
        <v>58</v>
      </c>
      <c r="C9" s="6" t="s">
        <v>59</v>
      </c>
      <c r="D9" s="17" t="n">
        <v>12</v>
      </c>
      <c r="E9" s="17" t="n">
        <v>30</v>
      </c>
      <c r="F9" s="17" t="n">
        <v>75</v>
      </c>
      <c r="G9" s="18" t="n">
        <f aca="false">D9/10</f>
        <v>1.2</v>
      </c>
      <c r="H9" s="18" t="n">
        <f aca="false">E9/10</f>
        <v>3</v>
      </c>
      <c r="I9" s="18" t="n">
        <f aca="false">F9/10</f>
        <v>7.5</v>
      </c>
    </row>
    <row r="10" customFormat="false" ht="15" hidden="false" customHeight="false" outlineLevel="0" collapsed="false">
      <c r="A10" s="6" t="s">
        <v>60</v>
      </c>
      <c r="B10" s="6" t="s">
        <v>61</v>
      </c>
      <c r="C10" s="6" t="s">
        <v>59</v>
      </c>
      <c r="D10" s="17" t="n">
        <v>15</v>
      </c>
      <c r="E10" s="17" t="n">
        <v>36</v>
      </c>
      <c r="F10" s="17" t="n">
        <v>90</v>
      </c>
      <c r="G10" s="18" t="n">
        <f aca="false">D10/10</f>
        <v>1.5</v>
      </c>
      <c r="H10" s="18" t="n">
        <f aca="false">E10/10</f>
        <v>3.6</v>
      </c>
      <c r="I10" s="18" t="n">
        <f aca="false">F10/10</f>
        <v>9</v>
      </c>
    </row>
    <row r="11" customFormat="false" ht="15" hidden="false" customHeight="false" outlineLevel="0" collapsed="false">
      <c r="A11" s="6" t="s">
        <v>62</v>
      </c>
      <c r="B11" s="6" t="s">
        <v>63</v>
      </c>
      <c r="C11" s="6" t="s">
        <v>59</v>
      </c>
      <c r="D11" s="17" t="n">
        <v>18</v>
      </c>
      <c r="E11" s="17" t="n">
        <v>45</v>
      </c>
      <c r="F11" s="17" t="n">
        <v>120</v>
      </c>
      <c r="G11" s="18" t="n">
        <f aca="false">D11/10</f>
        <v>1.8</v>
      </c>
      <c r="H11" s="18" t="n">
        <f aca="false">E11/10</f>
        <v>4.5</v>
      </c>
      <c r="I11" s="18" t="n">
        <f aca="false">F11/10</f>
        <v>12</v>
      </c>
    </row>
    <row r="12" customFormat="false" ht="15" hidden="false" customHeight="false" outlineLevel="0" collapsed="false">
      <c r="A12" s="6" t="s">
        <v>64</v>
      </c>
      <c r="B12" s="6" t="s">
        <v>65</v>
      </c>
      <c r="C12" s="6" t="s">
        <v>59</v>
      </c>
      <c r="D12" s="17" t="n">
        <v>24</v>
      </c>
      <c r="E12" s="17" t="n">
        <v>60</v>
      </c>
      <c r="F12" s="17" t="n">
        <v>150</v>
      </c>
      <c r="G12" s="18" t="n">
        <f aca="false">D12/10</f>
        <v>2.4</v>
      </c>
      <c r="H12" s="18" t="n">
        <f aca="false">E12/10</f>
        <v>6</v>
      </c>
      <c r="I12" s="18" t="n">
        <f aca="false">F12/10</f>
        <v>15</v>
      </c>
    </row>
    <row r="13" customFormat="false" ht="15" hidden="false" customHeight="false" outlineLevel="0" collapsed="false">
      <c r="A13" s="6" t="s">
        <v>66</v>
      </c>
      <c r="B13" s="6" t="s">
        <v>67</v>
      </c>
      <c r="C13" s="6" t="s">
        <v>68</v>
      </c>
      <c r="D13" s="17" t="n">
        <v>30</v>
      </c>
      <c r="E13" s="17" t="n">
        <v>75</v>
      </c>
      <c r="F13" s="17" t="n">
        <v>180</v>
      </c>
      <c r="G13" s="18" t="n">
        <f aca="false">D13/10</f>
        <v>3</v>
      </c>
      <c r="H13" s="18" t="n">
        <f aca="false">E13/10</f>
        <v>7.5</v>
      </c>
      <c r="I13" s="18" t="n">
        <f aca="false">F13/10</f>
        <v>18</v>
      </c>
    </row>
    <row r="14" customFormat="false" ht="15" hidden="false" customHeight="false" outlineLevel="0" collapsed="false">
      <c r="A14" s="6" t="s">
        <v>69</v>
      </c>
      <c r="B14" s="6" t="s">
        <v>70</v>
      </c>
      <c r="C14" s="6" t="s">
        <v>68</v>
      </c>
      <c r="D14" s="17" t="n">
        <v>36</v>
      </c>
      <c r="E14" s="17" t="n">
        <v>90</v>
      </c>
      <c r="F14" s="17" t="n">
        <v>240</v>
      </c>
      <c r="G14" s="18" t="n">
        <f aca="false">D14/10</f>
        <v>3.6</v>
      </c>
      <c r="H14" s="18" t="n">
        <f aca="false">E14/10</f>
        <v>9</v>
      </c>
      <c r="I14" s="18" t="n">
        <f aca="false">F14/10</f>
        <v>24</v>
      </c>
    </row>
    <row r="15" customFormat="false" ht="15" hidden="false" customHeight="false" outlineLevel="0" collapsed="false">
      <c r="A15" s="6" t="s">
        <v>71</v>
      </c>
      <c r="B15" s="6" t="s">
        <v>72</v>
      </c>
      <c r="C15" s="6" t="s">
        <v>68</v>
      </c>
      <c r="D15" s="17" t="n">
        <v>45</v>
      </c>
      <c r="E15" s="17" t="n">
        <v>120</v>
      </c>
      <c r="F15" s="17" t="n">
        <v>360</v>
      </c>
      <c r="G15" s="18" t="n">
        <f aca="false">D15/10</f>
        <v>4.5</v>
      </c>
      <c r="H15" s="18" t="n">
        <f aca="false">E15/10</f>
        <v>12</v>
      </c>
      <c r="I15" s="18" t="n">
        <f aca="false">F15/10</f>
        <v>36</v>
      </c>
    </row>
    <row r="16" customFormat="false" ht="15" hidden="false" customHeight="false" outlineLevel="0" collapsed="false">
      <c r="A16" s="6" t="s">
        <v>73</v>
      </c>
      <c r="B16" s="6" t="s">
        <v>74</v>
      </c>
      <c r="C16" s="6" t="s">
        <v>68</v>
      </c>
      <c r="D16" s="17" t="n">
        <v>60</v>
      </c>
      <c r="E16" s="17" t="n">
        <v>225</v>
      </c>
      <c r="F16" s="17" t="n">
        <v>750</v>
      </c>
      <c r="G16" s="18" t="n">
        <f aca="false">D16/10</f>
        <v>6</v>
      </c>
      <c r="H16" s="18" t="n">
        <f aca="false">E16/10</f>
        <v>22.5</v>
      </c>
      <c r="I16" s="18" t="n">
        <f aca="false">F16/10</f>
        <v>75</v>
      </c>
    </row>
    <row r="18" customFormat="false" ht="15" hidden="false" customHeight="false" outlineLevel="0" collapsed="false">
      <c r="A18" s="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9"/>
    <col collapsed="false" customWidth="true" hidden="false" outlineLevel="0" max="7" min="7" style="0" width="3"/>
    <col collapsed="false" customWidth="true" hidden="false" outlineLevel="0" max="12" min="8" style="0" width="10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15" hidden="false" customHeight="false" outlineLevel="0" collapsed="false">
      <c r="A4" s="4" t="s">
        <v>78</v>
      </c>
    </row>
    <row r="5" customFormat="false" ht="15" hidden="false" customHeight="false" outlineLevel="0" collapsed="false">
      <c r="A5" s="3" t="s">
        <v>39</v>
      </c>
      <c r="B5" s="3" t="s">
        <v>79</v>
      </c>
      <c r="C5" s="3" t="s">
        <v>80</v>
      </c>
      <c r="D5" s="3" t="s">
        <v>81</v>
      </c>
      <c r="E5" s="3" t="s">
        <v>82</v>
      </c>
      <c r="F5" s="3" t="s">
        <v>83</v>
      </c>
      <c r="G5" s="3"/>
      <c r="H5" s="3" t="s">
        <v>84</v>
      </c>
      <c r="I5" s="3" t="s">
        <v>85</v>
      </c>
      <c r="J5" s="3" t="s">
        <v>86</v>
      </c>
      <c r="K5" s="3" t="s">
        <v>87</v>
      </c>
      <c r="L5" s="3" t="s">
        <v>88</v>
      </c>
    </row>
    <row r="6" customFormat="false" ht="15" hidden="false" customHeight="false" outlineLevel="0" collapsed="false">
      <c r="A6" s="6" t="s">
        <v>48</v>
      </c>
      <c r="B6" s="16" t="n">
        <v>5</v>
      </c>
      <c r="C6" s="16" t="n">
        <v>3</v>
      </c>
      <c r="D6" s="16" t="n">
        <v>3</v>
      </c>
      <c r="E6" s="16" t="n">
        <v>3</v>
      </c>
      <c r="F6" s="16" t="n">
        <v>4</v>
      </c>
      <c r="H6" s="19" t="n">
        <f aca="false">B6/B$21</f>
        <v>0.15625</v>
      </c>
      <c r="I6" s="19" t="n">
        <f aca="false">C6/C$21</f>
        <v>0.09375</v>
      </c>
      <c r="J6" s="19" t="n">
        <f aca="false">D6/D$21</f>
        <v>0.09375</v>
      </c>
      <c r="K6" s="19" t="n">
        <f aca="false">E6/E$21</f>
        <v>0.09375</v>
      </c>
      <c r="L6" s="19" t="n">
        <f aca="false">F6/F$21</f>
        <v>0.125</v>
      </c>
    </row>
    <row r="7" customFormat="false" ht="15" hidden="false" customHeight="false" outlineLevel="0" collapsed="false">
      <c r="A7" s="6" t="s">
        <v>51</v>
      </c>
      <c r="B7" s="16" t="n">
        <v>5</v>
      </c>
      <c r="C7" s="16" t="n">
        <v>3</v>
      </c>
      <c r="D7" s="16" t="n">
        <v>3</v>
      </c>
      <c r="E7" s="16" t="n">
        <v>3</v>
      </c>
      <c r="F7" s="16" t="n">
        <v>4</v>
      </c>
      <c r="H7" s="19" t="n">
        <f aca="false">B7/B$21</f>
        <v>0.15625</v>
      </c>
      <c r="I7" s="19" t="n">
        <f aca="false">C7/C$21</f>
        <v>0.09375</v>
      </c>
      <c r="J7" s="19" t="n">
        <f aca="false">D7/D$21</f>
        <v>0.09375</v>
      </c>
      <c r="K7" s="19" t="n">
        <f aca="false">E7/E$21</f>
        <v>0.09375</v>
      </c>
      <c r="L7" s="19" t="n">
        <f aca="false">F7/F$21</f>
        <v>0.125</v>
      </c>
    </row>
    <row r="8" customFormat="false" ht="15" hidden="false" customHeight="false" outlineLevel="0" collapsed="false">
      <c r="A8" s="6" t="s">
        <v>53</v>
      </c>
      <c r="B8" s="16" t="n">
        <v>4</v>
      </c>
      <c r="C8" s="16" t="n">
        <v>4</v>
      </c>
      <c r="D8" s="16" t="n">
        <v>4</v>
      </c>
      <c r="E8" s="16" t="n">
        <v>4</v>
      </c>
      <c r="F8" s="16" t="n">
        <v>4</v>
      </c>
      <c r="H8" s="19" t="n">
        <f aca="false">B8/B$21</f>
        <v>0.125</v>
      </c>
      <c r="I8" s="19" t="n">
        <f aca="false">C8/C$21</f>
        <v>0.125</v>
      </c>
      <c r="J8" s="19" t="n">
        <f aca="false">D8/D$21</f>
        <v>0.125</v>
      </c>
      <c r="K8" s="19" t="n">
        <f aca="false">E8/E$21</f>
        <v>0.125</v>
      </c>
      <c r="L8" s="19" t="n">
        <f aca="false">F8/F$21</f>
        <v>0.125</v>
      </c>
    </row>
    <row r="9" customFormat="false" ht="15" hidden="false" customHeight="false" outlineLevel="0" collapsed="false">
      <c r="A9" s="6" t="s">
        <v>55</v>
      </c>
      <c r="B9" s="16" t="n">
        <v>4</v>
      </c>
      <c r="C9" s="16" t="n">
        <v>4</v>
      </c>
      <c r="D9" s="16" t="n">
        <v>4</v>
      </c>
      <c r="E9" s="16" t="n">
        <v>4</v>
      </c>
      <c r="F9" s="16" t="n">
        <v>4</v>
      </c>
      <c r="H9" s="19" t="n">
        <f aca="false">B9/B$21</f>
        <v>0.125</v>
      </c>
      <c r="I9" s="19" t="n">
        <f aca="false">C9/C$21</f>
        <v>0.125</v>
      </c>
      <c r="J9" s="19" t="n">
        <f aca="false">D9/D$21</f>
        <v>0.125</v>
      </c>
      <c r="K9" s="19" t="n">
        <f aca="false">E9/E$21</f>
        <v>0.125</v>
      </c>
      <c r="L9" s="19" t="n">
        <f aca="false">F9/F$21</f>
        <v>0.125</v>
      </c>
    </row>
    <row r="10" customFormat="false" ht="15" hidden="false" customHeight="false" outlineLevel="0" collapsed="false">
      <c r="A10" s="6" t="s">
        <v>57</v>
      </c>
      <c r="B10" s="16" t="n">
        <v>3</v>
      </c>
      <c r="C10" s="16" t="n">
        <v>3</v>
      </c>
      <c r="D10" s="16" t="n">
        <v>3</v>
      </c>
      <c r="E10" s="16" t="n">
        <v>3</v>
      </c>
      <c r="F10" s="16" t="n">
        <v>3</v>
      </c>
      <c r="H10" s="19" t="n">
        <f aca="false">B10/B$21</f>
        <v>0.09375</v>
      </c>
      <c r="I10" s="19" t="n">
        <f aca="false">C10/C$21</f>
        <v>0.09375</v>
      </c>
      <c r="J10" s="19" t="n">
        <f aca="false">D10/D$21</f>
        <v>0.09375</v>
      </c>
      <c r="K10" s="19" t="n">
        <f aca="false">E10/E$21</f>
        <v>0.09375</v>
      </c>
      <c r="L10" s="19" t="n">
        <f aca="false">F10/F$21</f>
        <v>0.09375</v>
      </c>
    </row>
    <row r="11" customFormat="false" ht="15" hidden="false" customHeight="false" outlineLevel="0" collapsed="false">
      <c r="A11" s="6" t="s">
        <v>60</v>
      </c>
      <c r="B11" s="16" t="n">
        <v>3</v>
      </c>
      <c r="C11" s="16" t="n">
        <v>2</v>
      </c>
      <c r="D11" s="16" t="n">
        <v>2</v>
      </c>
      <c r="E11" s="16" t="n">
        <v>2</v>
      </c>
      <c r="F11" s="16" t="n">
        <v>3</v>
      </c>
      <c r="H11" s="19" t="n">
        <f aca="false">B11/B$21</f>
        <v>0.09375</v>
      </c>
      <c r="I11" s="19" t="n">
        <f aca="false">C11/C$21</f>
        <v>0.0625</v>
      </c>
      <c r="J11" s="19" t="n">
        <f aca="false">D11/D$21</f>
        <v>0.0625</v>
      </c>
      <c r="K11" s="19" t="n">
        <f aca="false">E11/E$21</f>
        <v>0.0625</v>
      </c>
      <c r="L11" s="19" t="n">
        <f aca="false">F11/F$21</f>
        <v>0.09375</v>
      </c>
    </row>
    <row r="12" customFormat="false" ht="15" hidden="false" customHeight="false" outlineLevel="0" collapsed="false">
      <c r="A12" s="6" t="s">
        <v>62</v>
      </c>
      <c r="B12" s="16" t="n">
        <v>2</v>
      </c>
      <c r="C12" s="16" t="n">
        <v>2</v>
      </c>
      <c r="D12" s="16" t="n">
        <v>2</v>
      </c>
      <c r="E12" s="16" t="n">
        <v>2</v>
      </c>
      <c r="F12" s="16" t="n">
        <v>2</v>
      </c>
      <c r="H12" s="19" t="n">
        <f aca="false">B12/B$21</f>
        <v>0.0625</v>
      </c>
      <c r="I12" s="19" t="n">
        <f aca="false">C12/C$21</f>
        <v>0.0625</v>
      </c>
      <c r="J12" s="19" t="n">
        <f aca="false">D12/D$21</f>
        <v>0.0625</v>
      </c>
      <c r="K12" s="19" t="n">
        <f aca="false">E12/E$21</f>
        <v>0.0625</v>
      </c>
      <c r="L12" s="19" t="n">
        <f aca="false">F12/F$21</f>
        <v>0.0625</v>
      </c>
    </row>
    <row r="13" customFormat="false" ht="15" hidden="false" customHeight="false" outlineLevel="0" collapsed="false">
      <c r="A13" s="6" t="s">
        <v>64</v>
      </c>
      <c r="B13" s="16" t="n">
        <v>2</v>
      </c>
      <c r="C13" s="16" t="n">
        <v>2</v>
      </c>
      <c r="D13" s="16" t="n">
        <v>2</v>
      </c>
      <c r="E13" s="16" t="n">
        <v>2</v>
      </c>
      <c r="F13" s="16" t="n">
        <v>2</v>
      </c>
      <c r="H13" s="19" t="n">
        <f aca="false">B13/B$21</f>
        <v>0.0625</v>
      </c>
      <c r="I13" s="19" t="n">
        <f aca="false">C13/C$21</f>
        <v>0.0625</v>
      </c>
      <c r="J13" s="19" t="n">
        <f aca="false">D13/D$21</f>
        <v>0.0625</v>
      </c>
      <c r="K13" s="19" t="n">
        <f aca="false">E13/E$21</f>
        <v>0.0625</v>
      </c>
      <c r="L13" s="19" t="n">
        <f aca="false">F13/F$21</f>
        <v>0.0625</v>
      </c>
    </row>
    <row r="14" customFormat="false" ht="15" hidden="false" customHeight="false" outlineLevel="0" collapsed="false">
      <c r="A14" s="6" t="s">
        <v>66</v>
      </c>
      <c r="B14" s="16" t="n">
        <v>1</v>
      </c>
      <c r="C14" s="16" t="n">
        <v>1</v>
      </c>
      <c r="D14" s="16" t="n">
        <v>1</v>
      </c>
      <c r="E14" s="16" t="n">
        <v>1</v>
      </c>
      <c r="F14" s="16" t="n">
        <v>1</v>
      </c>
      <c r="H14" s="19" t="n">
        <f aca="false">B14/B$21</f>
        <v>0.03125</v>
      </c>
      <c r="I14" s="19" t="n">
        <f aca="false">C14/C$21</f>
        <v>0.03125</v>
      </c>
      <c r="J14" s="19" t="n">
        <f aca="false">D14/D$21</f>
        <v>0.03125</v>
      </c>
      <c r="K14" s="19" t="n">
        <f aca="false">E14/E$21</f>
        <v>0.03125</v>
      </c>
      <c r="L14" s="19" t="n">
        <f aca="false">F14/F$21</f>
        <v>0.03125</v>
      </c>
    </row>
    <row r="15" customFormat="false" ht="15" hidden="false" customHeight="false" outlineLevel="0" collapsed="false">
      <c r="A15" s="6" t="s">
        <v>69</v>
      </c>
      <c r="B15" s="16" t="n">
        <v>1</v>
      </c>
      <c r="C15" s="16" t="n">
        <v>1</v>
      </c>
      <c r="D15" s="16" t="n">
        <v>1</v>
      </c>
      <c r="E15" s="16" t="n">
        <v>1</v>
      </c>
      <c r="F15" s="16" t="n">
        <v>1</v>
      </c>
      <c r="H15" s="19" t="n">
        <f aca="false">B15/B$21</f>
        <v>0.03125</v>
      </c>
      <c r="I15" s="19" t="n">
        <f aca="false">C15/C$21</f>
        <v>0.03125</v>
      </c>
      <c r="J15" s="19" t="n">
        <f aca="false">D15/D$21</f>
        <v>0.03125</v>
      </c>
      <c r="K15" s="19" t="n">
        <f aca="false">E15/E$21</f>
        <v>0.03125</v>
      </c>
      <c r="L15" s="19" t="n">
        <f aca="false">F15/F$21</f>
        <v>0.03125</v>
      </c>
    </row>
    <row r="16" customFormat="false" ht="15" hidden="false" customHeight="false" outlineLevel="0" collapsed="false">
      <c r="A16" s="6" t="s">
        <v>71</v>
      </c>
      <c r="B16" s="16" t="n">
        <v>1</v>
      </c>
      <c r="C16" s="16" t="n">
        <v>1</v>
      </c>
      <c r="D16" s="16" t="n">
        <v>1</v>
      </c>
      <c r="E16" s="16" t="n">
        <v>1</v>
      </c>
      <c r="F16" s="16" t="n">
        <v>1</v>
      </c>
      <c r="H16" s="19" t="n">
        <f aca="false">B16/B$21</f>
        <v>0.03125</v>
      </c>
      <c r="I16" s="19" t="n">
        <f aca="false">C16/C$21</f>
        <v>0.03125</v>
      </c>
      <c r="J16" s="19" t="n">
        <f aca="false">D16/D$21</f>
        <v>0.03125</v>
      </c>
      <c r="K16" s="19" t="n">
        <f aca="false">E16/E$21</f>
        <v>0.03125</v>
      </c>
      <c r="L16" s="19" t="n">
        <f aca="false">F16/F$21</f>
        <v>0.03125</v>
      </c>
    </row>
    <row r="17" customFormat="false" ht="15" hidden="false" customHeight="false" outlineLevel="0" collapsed="false">
      <c r="A17" s="6" t="s">
        <v>73</v>
      </c>
      <c r="B17" s="16" t="n">
        <v>1</v>
      </c>
      <c r="C17" s="16" t="n">
        <v>1</v>
      </c>
      <c r="D17" s="16" t="n">
        <v>1</v>
      </c>
      <c r="E17" s="16" t="n">
        <v>1</v>
      </c>
      <c r="F17" s="16" t="n">
        <v>1</v>
      </c>
      <c r="H17" s="19" t="n">
        <f aca="false">B17/B$21</f>
        <v>0.03125</v>
      </c>
      <c r="I17" s="19" t="n">
        <f aca="false">C17/C$21</f>
        <v>0.03125</v>
      </c>
      <c r="J17" s="19" t="n">
        <f aca="false">D17/D$21</f>
        <v>0.03125</v>
      </c>
      <c r="K17" s="19" t="n">
        <f aca="false">E17/E$21</f>
        <v>0.03125</v>
      </c>
      <c r="L17" s="19" t="n">
        <f aca="false">F17/F$21</f>
        <v>0.03125</v>
      </c>
    </row>
    <row r="18" customFormat="false" ht="15" hidden="false" customHeight="false" outlineLevel="0" collapsed="false">
      <c r="A18" s="6" t="s">
        <v>89</v>
      </c>
      <c r="B18" s="16" t="n">
        <v>0</v>
      </c>
      <c r="C18" s="16" t="n">
        <v>3</v>
      </c>
      <c r="D18" s="16" t="n">
        <v>3</v>
      </c>
      <c r="E18" s="16" t="n">
        <v>3</v>
      </c>
      <c r="F18" s="16" t="n">
        <v>2</v>
      </c>
      <c r="H18" s="19" t="n">
        <f aca="false">B18/B$21</f>
        <v>0</v>
      </c>
      <c r="I18" s="19" t="n">
        <f aca="false">C18/C$21</f>
        <v>0.09375</v>
      </c>
      <c r="J18" s="19" t="n">
        <f aca="false">D18/D$21</f>
        <v>0.09375</v>
      </c>
      <c r="K18" s="19" t="n">
        <f aca="false">E18/E$21</f>
        <v>0.09375</v>
      </c>
      <c r="L18" s="19" t="n">
        <f aca="false">F18/F$21</f>
        <v>0.0625</v>
      </c>
    </row>
    <row r="19" customFormat="false" ht="15" hidden="false" customHeight="false" outlineLevel="0" collapsed="false">
      <c r="A19" s="6" t="s">
        <v>90</v>
      </c>
      <c r="B19" s="16" t="n">
        <v>0</v>
      </c>
      <c r="C19" s="16" t="n">
        <v>2</v>
      </c>
      <c r="D19" s="16" t="n">
        <v>2</v>
      </c>
      <c r="E19" s="16" t="n">
        <v>2</v>
      </c>
      <c r="F19" s="16" t="n">
        <v>0</v>
      </c>
      <c r="H19" s="19" t="n">
        <f aca="false">B19/B$21</f>
        <v>0</v>
      </c>
      <c r="I19" s="19" t="n">
        <f aca="false">C19/C$21</f>
        <v>0.0625</v>
      </c>
      <c r="J19" s="19" t="n">
        <f aca="false">D19/D$21</f>
        <v>0.0625</v>
      </c>
      <c r="K19" s="19" t="n">
        <f aca="false">E19/E$21</f>
        <v>0.0625</v>
      </c>
      <c r="L19" s="19" t="n">
        <f aca="false">F19/F$21</f>
        <v>0</v>
      </c>
    </row>
    <row r="20" customFormat="false" ht="15" hidden="false" customHeight="false" outlineLevel="0" collapsed="false">
      <c r="A20" s="6" t="s">
        <v>91</v>
      </c>
      <c r="B20" s="16" t="n">
        <v>0</v>
      </c>
      <c r="C20" s="16" t="n">
        <v>0</v>
      </c>
      <c r="D20" s="16" t="n">
        <v>0</v>
      </c>
      <c r="E20" s="16" t="n">
        <v>0</v>
      </c>
      <c r="F20" s="16" t="n">
        <v>0</v>
      </c>
      <c r="H20" s="19" t="n">
        <f aca="false">B20/B$21</f>
        <v>0</v>
      </c>
      <c r="I20" s="19" t="n">
        <f aca="false">C20/C$21</f>
        <v>0</v>
      </c>
      <c r="J20" s="19" t="n">
        <f aca="false">D20/D$21</f>
        <v>0</v>
      </c>
      <c r="K20" s="19" t="n">
        <f aca="false">E20/E$21</f>
        <v>0</v>
      </c>
      <c r="L20" s="19" t="n">
        <f aca="false">F20/F$21</f>
        <v>0</v>
      </c>
    </row>
    <row r="21" customFormat="false" ht="15" hidden="false" customHeight="false" outlineLevel="0" collapsed="false">
      <c r="A21" s="4" t="s">
        <v>92</v>
      </c>
      <c r="B21" s="20" t="n">
        <f aca="false">SUM(B6:B20)</f>
        <v>32</v>
      </c>
      <c r="C21" s="20" t="n">
        <f aca="false">SUM(C6:C20)</f>
        <v>32</v>
      </c>
      <c r="D21" s="20" t="n">
        <f aca="false">SUM(D6:D20)</f>
        <v>32</v>
      </c>
      <c r="E21" s="20" t="n">
        <f aca="false">SUM(E6:E20)</f>
        <v>32</v>
      </c>
      <c r="F21" s="20" t="n">
        <f aca="false">SUM(F6:F20)</f>
        <v>32</v>
      </c>
    </row>
    <row r="23" customFormat="false" ht="15" hidden="false" customHeight="false" outlineLevel="0" collapsed="false">
      <c r="A23" s="4" t="s">
        <v>93</v>
      </c>
    </row>
    <row r="24" customFormat="false" ht="15" hidden="false" customHeight="false" outlineLevel="0" collapsed="false">
      <c r="A24" s="3" t="s">
        <v>39</v>
      </c>
      <c r="B24" s="3" t="s">
        <v>79</v>
      </c>
      <c r="C24" s="3" t="s">
        <v>80</v>
      </c>
      <c r="D24" s="3" t="s">
        <v>81</v>
      </c>
      <c r="E24" s="3" t="s">
        <v>82</v>
      </c>
      <c r="F24" s="3" t="s">
        <v>83</v>
      </c>
      <c r="G24" s="3"/>
      <c r="H24" s="3" t="s">
        <v>84</v>
      </c>
      <c r="I24" s="3" t="s">
        <v>85</v>
      </c>
      <c r="J24" s="3" t="s">
        <v>86</v>
      </c>
      <c r="K24" s="3" t="s">
        <v>87</v>
      </c>
      <c r="L24" s="3" t="s">
        <v>88</v>
      </c>
    </row>
    <row r="25" customFormat="false" ht="15" hidden="false" customHeight="false" outlineLevel="0" collapsed="false">
      <c r="A25" s="6" t="s">
        <v>48</v>
      </c>
      <c r="B25" s="16" t="n">
        <v>3</v>
      </c>
      <c r="C25" s="16" t="n">
        <v>2</v>
      </c>
      <c r="D25" s="16" t="n">
        <v>2</v>
      </c>
      <c r="E25" s="16" t="n">
        <v>2</v>
      </c>
      <c r="F25" s="16" t="n">
        <v>3</v>
      </c>
      <c r="H25" s="19" t="n">
        <f aca="false">B25/B$40</f>
        <v>0.09375</v>
      </c>
      <c r="I25" s="19" t="n">
        <f aca="false">C25/C$40</f>
        <v>0.0625</v>
      </c>
      <c r="J25" s="19" t="n">
        <f aca="false">D25/D$40</f>
        <v>0.0625</v>
      </c>
      <c r="K25" s="19" t="n">
        <f aca="false">E25/E$40</f>
        <v>0.0625</v>
      </c>
      <c r="L25" s="19" t="n">
        <f aca="false">F25/F$40</f>
        <v>0.09375</v>
      </c>
    </row>
    <row r="26" customFormat="false" ht="15" hidden="false" customHeight="false" outlineLevel="0" collapsed="false">
      <c r="A26" s="6" t="s">
        <v>51</v>
      </c>
      <c r="B26" s="16" t="n">
        <v>3</v>
      </c>
      <c r="C26" s="16" t="n">
        <v>2</v>
      </c>
      <c r="D26" s="16" t="n">
        <v>2</v>
      </c>
      <c r="E26" s="16" t="n">
        <v>2</v>
      </c>
      <c r="F26" s="16" t="n">
        <v>3</v>
      </c>
      <c r="H26" s="19" t="n">
        <f aca="false">B26/B$40</f>
        <v>0.09375</v>
      </c>
      <c r="I26" s="19" t="n">
        <f aca="false">C26/C$40</f>
        <v>0.0625</v>
      </c>
      <c r="J26" s="19" t="n">
        <f aca="false">D26/D$40</f>
        <v>0.0625</v>
      </c>
      <c r="K26" s="19" t="n">
        <f aca="false">E26/E$40</f>
        <v>0.0625</v>
      </c>
      <c r="L26" s="19" t="n">
        <f aca="false">F26/F$40</f>
        <v>0.09375</v>
      </c>
    </row>
    <row r="27" customFormat="false" ht="15" hidden="false" customHeight="false" outlineLevel="0" collapsed="false">
      <c r="A27" s="6" t="s">
        <v>53</v>
      </c>
      <c r="B27" s="16" t="n">
        <v>4</v>
      </c>
      <c r="C27" s="16" t="n">
        <v>3</v>
      </c>
      <c r="D27" s="16" t="n">
        <v>3</v>
      </c>
      <c r="E27" s="16" t="n">
        <v>3</v>
      </c>
      <c r="F27" s="16" t="n">
        <v>3</v>
      </c>
      <c r="H27" s="19" t="n">
        <f aca="false">B27/B$40</f>
        <v>0.125</v>
      </c>
      <c r="I27" s="19" t="n">
        <f aca="false">C27/C$40</f>
        <v>0.09375</v>
      </c>
      <c r="J27" s="19" t="n">
        <f aca="false">D27/D$40</f>
        <v>0.09375</v>
      </c>
      <c r="K27" s="19" t="n">
        <f aca="false">E27/E$40</f>
        <v>0.09375</v>
      </c>
      <c r="L27" s="19" t="n">
        <f aca="false">F27/F$40</f>
        <v>0.09375</v>
      </c>
    </row>
    <row r="28" customFormat="false" ht="15" hidden="false" customHeight="false" outlineLevel="0" collapsed="false">
      <c r="A28" s="6" t="s">
        <v>55</v>
      </c>
      <c r="B28" s="16" t="n">
        <v>4</v>
      </c>
      <c r="C28" s="16" t="n">
        <v>3</v>
      </c>
      <c r="D28" s="16" t="n">
        <v>3</v>
      </c>
      <c r="E28" s="16" t="n">
        <v>3</v>
      </c>
      <c r="F28" s="16" t="n">
        <v>3</v>
      </c>
      <c r="H28" s="19" t="n">
        <f aca="false">B28/B$40</f>
        <v>0.125</v>
      </c>
      <c r="I28" s="19" t="n">
        <f aca="false">C28/C$40</f>
        <v>0.09375</v>
      </c>
      <c r="J28" s="19" t="n">
        <f aca="false">D28/D$40</f>
        <v>0.09375</v>
      </c>
      <c r="K28" s="19" t="n">
        <f aca="false">E28/E$40</f>
        <v>0.09375</v>
      </c>
      <c r="L28" s="19" t="n">
        <f aca="false">F28/F$40</f>
        <v>0.09375</v>
      </c>
    </row>
    <row r="29" customFormat="false" ht="15" hidden="false" customHeight="false" outlineLevel="0" collapsed="false">
      <c r="A29" s="6" t="s">
        <v>57</v>
      </c>
      <c r="B29" s="16" t="n">
        <v>3</v>
      </c>
      <c r="C29" s="16" t="n">
        <v>3</v>
      </c>
      <c r="D29" s="16" t="n">
        <v>3</v>
      </c>
      <c r="E29" s="16" t="n">
        <v>3</v>
      </c>
      <c r="F29" s="16" t="n">
        <v>3</v>
      </c>
      <c r="H29" s="19" t="n">
        <f aca="false">B29/B$40</f>
        <v>0.09375</v>
      </c>
      <c r="I29" s="19" t="n">
        <f aca="false">C29/C$40</f>
        <v>0.09375</v>
      </c>
      <c r="J29" s="19" t="n">
        <f aca="false">D29/D$40</f>
        <v>0.09375</v>
      </c>
      <c r="K29" s="19" t="n">
        <f aca="false">E29/E$40</f>
        <v>0.09375</v>
      </c>
      <c r="L29" s="19" t="n">
        <f aca="false">F29/F$40</f>
        <v>0.09375</v>
      </c>
    </row>
    <row r="30" customFormat="false" ht="15" hidden="false" customHeight="false" outlineLevel="0" collapsed="false">
      <c r="A30" s="6" t="s">
        <v>60</v>
      </c>
      <c r="B30" s="16" t="n">
        <v>3</v>
      </c>
      <c r="C30" s="16" t="n">
        <v>2</v>
      </c>
      <c r="D30" s="16" t="n">
        <v>2</v>
      </c>
      <c r="E30" s="16" t="n">
        <v>2</v>
      </c>
      <c r="F30" s="16" t="n">
        <v>3</v>
      </c>
      <c r="H30" s="19" t="n">
        <f aca="false">B30/B$40</f>
        <v>0.09375</v>
      </c>
      <c r="I30" s="19" t="n">
        <f aca="false">C30/C$40</f>
        <v>0.0625</v>
      </c>
      <c r="J30" s="19" t="n">
        <f aca="false">D30/D$40</f>
        <v>0.0625</v>
      </c>
      <c r="K30" s="19" t="n">
        <f aca="false">E30/E$40</f>
        <v>0.0625</v>
      </c>
      <c r="L30" s="19" t="n">
        <f aca="false">F30/F$40</f>
        <v>0.09375</v>
      </c>
    </row>
    <row r="31" customFormat="false" ht="15" hidden="false" customHeight="false" outlineLevel="0" collapsed="false">
      <c r="A31" s="6" t="s">
        <v>62</v>
      </c>
      <c r="B31" s="16" t="n">
        <v>2</v>
      </c>
      <c r="C31" s="16" t="n">
        <v>2</v>
      </c>
      <c r="D31" s="16" t="n">
        <v>2</v>
      </c>
      <c r="E31" s="16" t="n">
        <v>2</v>
      </c>
      <c r="F31" s="16" t="n">
        <v>2</v>
      </c>
      <c r="H31" s="19" t="n">
        <f aca="false">B31/B$40</f>
        <v>0.0625</v>
      </c>
      <c r="I31" s="19" t="n">
        <f aca="false">C31/C$40</f>
        <v>0.0625</v>
      </c>
      <c r="J31" s="19" t="n">
        <f aca="false">D31/D$40</f>
        <v>0.0625</v>
      </c>
      <c r="K31" s="19" t="n">
        <f aca="false">E31/E$40</f>
        <v>0.0625</v>
      </c>
      <c r="L31" s="19" t="n">
        <f aca="false">F31/F$40</f>
        <v>0.0625</v>
      </c>
    </row>
    <row r="32" customFormat="false" ht="15" hidden="false" customHeight="false" outlineLevel="0" collapsed="false">
      <c r="A32" s="6" t="s">
        <v>64</v>
      </c>
      <c r="B32" s="16" t="n">
        <v>2</v>
      </c>
      <c r="C32" s="16" t="n">
        <v>2</v>
      </c>
      <c r="D32" s="16" t="n">
        <v>2</v>
      </c>
      <c r="E32" s="16" t="n">
        <v>2</v>
      </c>
      <c r="F32" s="16" t="n">
        <v>2</v>
      </c>
      <c r="H32" s="19" t="n">
        <f aca="false">B32/B$40</f>
        <v>0.0625</v>
      </c>
      <c r="I32" s="19" t="n">
        <f aca="false">C32/C$40</f>
        <v>0.0625</v>
      </c>
      <c r="J32" s="19" t="n">
        <f aca="false">D32/D$40</f>
        <v>0.0625</v>
      </c>
      <c r="K32" s="19" t="n">
        <f aca="false">E32/E$40</f>
        <v>0.0625</v>
      </c>
      <c r="L32" s="19" t="n">
        <f aca="false">F32/F$40</f>
        <v>0.0625</v>
      </c>
    </row>
    <row r="33" customFormat="false" ht="15" hidden="false" customHeight="false" outlineLevel="0" collapsed="false">
      <c r="A33" s="6" t="s">
        <v>66</v>
      </c>
      <c r="B33" s="16" t="n">
        <v>1</v>
      </c>
      <c r="C33" s="16" t="n">
        <v>1</v>
      </c>
      <c r="D33" s="16" t="n">
        <v>1</v>
      </c>
      <c r="E33" s="16" t="n">
        <v>1</v>
      </c>
      <c r="F33" s="16" t="n">
        <v>1</v>
      </c>
      <c r="H33" s="19" t="n">
        <f aca="false">B33/B$40</f>
        <v>0.03125</v>
      </c>
      <c r="I33" s="19" t="n">
        <f aca="false">C33/C$40</f>
        <v>0.03125</v>
      </c>
      <c r="J33" s="19" t="n">
        <f aca="false">D33/D$40</f>
        <v>0.03125</v>
      </c>
      <c r="K33" s="19" t="n">
        <f aca="false">E33/E$40</f>
        <v>0.03125</v>
      </c>
      <c r="L33" s="19" t="n">
        <f aca="false">F33/F$40</f>
        <v>0.03125</v>
      </c>
    </row>
    <row r="34" customFormat="false" ht="15" hidden="false" customHeight="false" outlineLevel="0" collapsed="false">
      <c r="A34" s="6" t="s">
        <v>69</v>
      </c>
      <c r="B34" s="16" t="n">
        <v>1</v>
      </c>
      <c r="C34" s="16" t="n">
        <v>1</v>
      </c>
      <c r="D34" s="16" t="n">
        <v>1</v>
      </c>
      <c r="E34" s="16" t="n">
        <v>1</v>
      </c>
      <c r="F34" s="16" t="n">
        <v>1</v>
      </c>
      <c r="H34" s="19" t="n">
        <f aca="false">B34/B$40</f>
        <v>0.03125</v>
      </c>
      <c r="I34" s="19" t="n">
        <f aca="false">C34/C$40</f>
        <v>0.03125</v>
      </c>
      <c r="J34" s="19" t="n">
        <f aca="false">D34/D$40</f>
        <v>0.03125</v>
      </c>
      <c r="K34" s="19" t="n">
        <f aca="false">E34/E$40</f>
        <v>0.03125</v>
      </c>
      <c r="L34" s="19" t="n">
        <f aca="false">F34/F$40</f>
        <v>0.03125</v>
      </c>
    </row>
    <row r="35" customFormat="false" ht="15" hidden="false" customHeight="false" outlineLevel="0" collapsed="false">
      <c r="A35" s="6" t="s">
        <v>71</v>
      </c>
      <c r="B35" s="16" t="n">
        <v>1</v>
      </c>
      <c r="C35" s="16" t="n">
        <v>1</v>
      </c>
      <c r="D35" s="16" t="n">
        <v>1</v>
      </c>
      <c r="E35" s="16" t="n">
        <v>1</v>
      </c>
      <c r="F35" s="16" t="n">
        <v>1</v>
      </c>
      <c r="H35" s="19" t="n">
        <f aca="false">B35/B$40</f>
        <v>0.03125</v>
      </c>
      <c r="I35" s="19" t="n">
        <f aca="false">C35/C$40</f>
        <v>0.03125</v>
      </c>
      <c r="J35" s="19" t="n">
        <f aca="false">D35/D$40</f>
        <v>0.03125</v>
      </c>
      <c r="K35" s="19" t="n">
        <f aca="false">E35/E$40</f>
        <v>0.03125</v>
      </c>
      <c r="L35" s="19" t="n">
        <f aca="false">F35/F$40</f>
        <v>0.03125</v>
      </c>
    </row>
    <row r="36" customFormat="false" ht="15" hidden="false" customHeight="false" outlineLevel="0" collapsed="false">
      <c r="A36" s="6" t="s">
        <v>73</v>
      </c>
      <c r="B36" s="16" t="n">
        <v>1</v>
      </c>
      <c r="C36" s="16" t="n">
        <v>1</v>
      </c>
      <c r="D36" s="16" t="n">
        <v>1</v>
      </c>
      <c r="E36" s="16" t="n">
        <v>1</v>
      </c>
      <c r="F36" s="16" t="n">
        <v>1</v>
      </c>
      <c r="H36" s="19" t="n">
        <f aca="false">B36/B$40</f>
        <v>0.03125</v>
      </c>
      <c r="I36" s="19" t="n">
        <f aca="false">C36/C$40</f>
        <v>0.03125</v>
      </c>
      <c r="J36" s="19" t="n">
        <f aca="false">D36/D$40</f>
        <v>0.03125</v>
      </c>
      <c r="K36" s="19" t="n">
        <f aca="false">E36/E$40</f>
        <v>0.03125</v>
      </c>
      <c r="L36" s="19" t="n">
        <f aca="false">F36/F$40</f>
        <v>0.03125</v>
      </c>
    </row>
    <row r="37" customFormat="false" ht="15" hidden="false" customHeight="false" outlineLevel="0" collapsed="false">
      <c r="A37" s="6" t="s">
        <v>89</v>
      </c>
      <c r="B37" s="16" t="n">
        <v>0</v>
      </c>
      <c r="C37" s="16" t="n">
        <v>3</v>
      </c>
      <c r="D37" s="16" t="n">
        <v>3</v>
      </c>
      <c r="E37" s="16" t="n">
        <v>3</v>
      </c>
      <c r="F37" s="16" t="n">
        <v>2</v>
      </c>
      <c r="H37" s="19" t="n">
        <f aca="false">B37/B$40</f>
        <v>0</v>
      </c>
      <c r="I37" s="19" t="n">
        <f aca="false">C37/C$40</f>
        <v>0.09375</v>
      </c>
      <c r="J37" s="19" t="n">
        <f aca="false">D37/D$40</f>
        <v>0.09375</v>
      </c>
      <c r="K37" s="19" t="n">
        <f aca="false">E37/E$40</f>
        <v>0.09375</v>
      </c>
      <c r="L37" s="19" t="n">
        <f aca="false">F37/F$40</f>
        <v>0.0625</v>
      </c>
    </row>
    <row r="38" customFormat="false" ht="15" hidden="false" customHeight="false" outlineLevel="0" collapsed="false">
      <c r="A38" s="6" t="s">
        <v>90</v>
      </c>
      <c r="B38" s="16" t="n">
        <v>0</v>
      </c>
      <c r="C38" s="16" t="n">
        <v>2</v>
      </c>
      <c r="D38" s="16" t="n">
        <v>2</v>
      </c>
      <c r="E38" s="16" t="n">
        <v>2</v>
      </c>
      <c r="F38" s="16" t="n">
        <v>0</v>
      </c>
      <c r="H38" s="19" t="n">
        <f aca="false">B38/B$40</f>
        <v>0</v>
      </c>
      <c r="I38" s="19" t="n">
        <f aca="false">C38/C$40</f>
        <v>0.0625</v>
      </c>
      <c r="J38" s="19" t="n">
        <f aca="false">D38/D$40</f>
        <v>0.0625</v>
      </c>
      <c r="K38" s="19" t="n">
        <f aca="false">E38/E$40</f>
        <v>0.0625</v>
      </c>
      <c r="L38" s="19" t="n">
        <f aca="false">F38/F$40</f>
        <v>0</v>
      </c>
    </row>
    <row r="39" customFormat="false" ht="15" hidden="false" customHeight="false" outlineLevel="0" collapsed="false">
      <c r="A39" s="6" t="s">
        <v>91</v>
      </c>
      <c r="B39" s="16" t="n">
        <v>4</v>
      </c>
      <c r="C39" s="16" t="n">
        <v>4</v>
      </c>
      <c r="D39" s="16" t="n">
        <v>4</v>
      </c>
      <c r="E39" s="16" t="n">
        <v>4</v>
      </c>
      <c r="F39" s="16" t="n">
        <v>4</v>
      </c>
      <c r="H39" s="19" t="n">
        <f aca="false">B39/B$40</f>
        <v>0.125</v>
      </c>
      <c r="I39" s="19" t="n">
        <f aca="false">C39/C$40</f>
        <v>0.125</v>
      </c>
      <c r="J39" s="19" t="n">
        <f aca="false">D39/D$40</f>
        <v>0.125</v>
      </c>
      <c r="K39" s="19" t="n">
        <f aca="false">E39/E$40</f>
        <v>0.125</v>
      </c>
      <c r="L39" s="19" t="n">
        <f aca="false">F39/F$40</f>
        <v>0.125</v>
      </c>
    </row>
    <row r="40" customFormat="false" ht="15" hidden="false" customHeight="false" outlineLevel="0" collapsed="false">
      <c r="A40" s="4" t="s">
        <v>92</v>
      </c>
      <c r="B40" s="20" t="n">
        <f aca="false">SUM(B25:B39)</f>
        <v>32</v>
      </c>
      <c r="C40" s="20" t="n">
        <f aca="false">SUM(C25:C39)</f>
        <v>32</v>
      </c>
      <c r="D40" s="20" t="n">
        <f aca="false">SUM(D25:D39)</f>
        <v>32</v>
      </c>
      <c r="E40" s="20" t="n">
        <f aca="false">SUM(E25:E39)</f>
        <v>32</v>
      </c>
      <c r="F40" s="20" t="n">
        <f aca="false">SUM(F25:F39)</f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15" hidden="false" customHeight="false" outlineLevel="0" collapsed="false">
      <c r="A4" s="3" t="s">
        <v>39</v>
      </c>
      <c r="B4" s="3" t="s">
        <v>96</v>
      </c>
      <c r="C4" s="3" t="s">
        <v>97</v>
      </c>
      <c r="D4" s="3" t="s">
        <v>98</v>
      </c>
      <c r="E4" s="3" t="s">
        <v>99</v>
      </c>
      <c r="F4" s="3" t="s">
        <v>100</v>
      </c>
    </row>
    <row r="5" customFormat="false" ht="15" hidden="false" customHeight="false" outlineLevel="0" collapsed="false">
      <c r="A5" s="6" t="s">
        <v>48</v>
      </c>
      <c r="B5" s="20" t="n">
        <v>3</v>
      </c>
      <c r="C5" s="21" t="n">
        <f aca="false">'Reel Strips'!$H$6*('Reel Strips'!$I$6+'Reel Strips'!$I$18)*('Reel Strips'!$J$6+'Reel Strips'!$J$18)*(1-'Reel Strips'!$K$6-'Reel Strips'!$K$18)+'Reel Strips'!$H$18*'Reel Strips'!$I$6*('Reel Strips'!$J$6+'Reel Strips'!$J$18)*(1-'Reel Strips'!$K$6-'Reel Strips'!$K$18)+'Reel Strips'!$H$18*'Reel Strips'!$I$18*'Reel Strips'!$J$6*(1-'Reel Strips'!$K$6-'Reel Strips'!$K$18)</f>
        <v>0.00446319580078125</v>
      </c>
      <c r="D5" s="12" t="n">
        <f aca="false">Paytable!G5</f>
        <v>0.6</v>
      </c>
      <c r="E5" s="22" t="n">
        <f aca="false">C5*D5*10</f>
        <v>0.0267791748046875</v>
      </c>
      <c r="F5" s="23" t="n">
        <v>0.00446319580078125</v>
      </c>
    </row>
    <row r="6" customFormat="false" ht="15" hidden="false" customHeight="false" outlineLevel="0" collapsed="false">
      <c r="A6" s="6" t="s">
        <v>48</v>
      </c>
      <c r="B6" s="20" t="n">
        <v>4</v>
      </c>
      <c r="C6" s="21" t="n">
        <f aca="false">'Reel Strips'!$H$6*('Reel Strips'!$I$6+'Reel Strips'!$I$18)*('Reel Strips'!$J$6+'Reel Strips'!$J$18)*('Reel Strips'!$K$6+'Reel Strips'!$K$18)*(1-'Reel Strips'!$L$6-'Reel Strips'!$L$18)+'Reel Strips'!$H$18*'Reel Strips'!$I$6*('Reel Strips'!$J$6+'Reel Strips'!$J$18)*('Reel Strips'!$K$6+'Reel Strips'!$K$18)*(1-'Reel Strips'!$L$6-'Reel Strips'!$L$18)+'Reel Strips'!$H$18*'Reel Strips'!$I$18*'Reel Strips'!$J$6*('Reel Strips'!$K$6+'Reel Strips'!$K$18)*(1-'Reel Strips'!$L$6-'Reel Strips'!$L$18)+'Reel Strips'!$H$18*'Reel Strips'!$I$18*'Reel Strips'!$J$18*'Reel Strips'!$K$6*(1-'Reel Strips'!$L$6-'Reel Strips'!$L$18)</f>
        <v>0.000836849212646484</v>
      </c>
      <c r="D6" s="12" t="n">
        <f aca="false">Paytable!H5</f>
        <v>1.5</v>
      </c>
      <c r="E6" s="22" t="n">
        <f aca="false">C6*D6*10</f>
        <v>0.0125527381896973</v>
      </c>
      <c r="F6" s="23" t="n">
        <v>0.000836849212646484</v>
      </c>
    </row>
    <row r="7" customFormat="false" ht="15" hidden="false" customHeight="false" outlineLevel="0" collapsed="false">
      <c r="A7" s="6" t="s">
        <v>48</v>
      </c>
      <c r="B7" s="20" t="n">
        <v>5</v>
      </c>
      <c r="C7" s="21" t="n">
        <f aca="false">'Reel Strips'!$H$6*('Reel Strips'!$I$6+'Reel Strips'!$I$18)*('Reel Strips'!$J$6+'Reel Strips'!$J$18)*('Reel Strips'!$K$6+'Reel Strips'!$K$18)*('Reel Strips'!$L$6+'Reel Strips'!$L$18)+'Reel Strips'!$H$18*'Reel Strips'!$I$6*('Reel Strips'!$J$6+'Reel Strips'!$J$18)*('Reel Strips'!$K$6+'Reel Strips'!$K$18)*('Reel Strips'!$L$6+'Reel Strips'!$L$18)+'Reel Strips'!$H$18*'Reel Strips'!$I$18*'Reel Strips'!$J$6*('Reel Strips'!$K$6+'Reel Strips'!$K$18)*('Reel Strips'!$L$6+'Reel Strips'!$L$18)+'Reel Strips'!$H$18*'Reel Strips'!$I$18*'Reel Strips'!$J$18*'Reel Strips'!$K$6*('Reel Strips'!$L$6+'Reel Strips'!$L$18)+'Reel Strips'!$H$18*'Reel Strips'!$I$18*'Reel Strips'!$J$18*'Reel Strips'!$K$18*'Reel Strips'!$L$6</f>
        <v>0.000193119049072266</v>
      </c>
      <c r="D7" s="12" t="n">
        <f aca="false">Paytable!I5</f>
        <v>3</v>
      </c>
      <c r="E7" s="22" t="n">
        <f aca="false">C7*D7*10</f>
        <v>0.00579357147216797</v>
      </c>
      <c r="F7" s="23" t="n">
        <v>0.000193119049072266</v>
      </c>
    </row>
    <row r="8" customFormat="false" ht="15" hidden="false" customHeight="false" outlineLevel="0" collapsed="false">
      <c r="A8" s="6" t="s">
        <v>51</v>
      </c>
      <c r="B8" s="20" t="n">
        <v>3</v>
      </c>
      <c r="C8" s="21" t="n">
        <f aca="false">'Reel Strips'!$H$7*('Reel Strips'!$I$7+'Reel Strips'!$I$18)*('Reel Strips'!$J$7+'Reel Strips'!$J$18)*(1-'Reel Strips'!$K$7-'Reel Strips'!$K$18)+'Reel Strips'!$H$18*'Reel Strips'!$I$7*('Reel Strips'!$J$7+'Reel Strips'!$J$18)*(1-'Reel Strips'!$K$7-'Reel Strips'!$K$18)+'Reel Strips'!$H$18*'Reel Strips'!$I$18*'Reel Strips'!$J$7*(1-'Reel Strips'!$K$7-'Reel Strips'!$K$18)</f>
        <v>0.00446319580078125</v>
      </c>
      <c r="D8" s="12" t="n">
        <f aca="false">Paytable!G6</f>
        <v>0.6</v>
      </c>
      <c r="E8" s="22" t="n">
        <f aca="false">C8*D8*10</f>
        <v>0.0267791748046875</v>
      </c>
      <c r="F8" s="23" t="n">
        <v>0.00446319580078125</v>
      </c>
    </row>
    <row r="9" customFormat="false" ht="15" hidden="false" customHeight="false" outlineLevel="0" collapsed="false">
      <c r="A9" s="6" t="s">
        <v>51</v>
      </c>
      <c r="B9" s="20" t="n">
        <v>4</v>
      </c>
      <c r="C9" s="21" t="n">
        <f aca="false">'Reel Strips'!$H$7*('Reel Strips'!$I$7+'Reel Strips'!$I$18)*('Reel Strips'!$J$7+'Reel Strips'!$J$18)*('Reel Strips'!$K$7+'Reel Strips'!$K$18)*(1-'Reel Strips'!$L$7-'Reel Strips'!$L$18)+'Reel Strips'!$H$18*'Reel Strips'!$I$7*('Reel Strips'!$J$7+'Reel Strips'!$J$18)*('Reel Strips'!$K$7+'Reel Strips'!$K$18)*(1-'Reel Strips'!$L$7-'Reel Strips'!$L$18)+'Reel Strips'!$H$18*'Reel Strips'!$I$18*'Reel Strips'!$J$7*('Reel Strips'!$K$7+'Reel Strips'!$K$18)*(1-'Reel Strips'!$L$7-'Reel Strips'!$L$18)+'Reel Strips'!$H$18*'Reel Strips'!$I$18*'Reel Strips'!$J$18*'Reel Strips'!$K$7*(1-'Reel Strips'!$L$7-'Reel Strips'!$L$18)</f>
        <v>0.000836849212646484</v>
      </c>
      <c r="D9" s="12" t="n">
        <f aca="false">Paytable!H6</f>
        <v>1.5</v>
      </c>
      <c r="E9" s="22" t="n">
        <f aca="false">C9*D9*10</f>
        <v>0.0125527381896973</v>
      </c>
      <c r="F9" s="23" t="n">
        <v>0.000836849212646484</v>
      </c>
    </row>
    <row r="10" customFormat="false" ht="15" hidden="false" customHeight="false" outlineLevel="0" collapsed="false">
      <c r="A10" s="6" t="s">
        <v>51</v>
      </c>
      <c r="B10" s="20" t="n">
        <v>5</v>
      </c>
      <c r="C10" s="21" t="n">
        <f aca="false">'Reel Strips'!$H$7*('Reel Strips'!$I$7+'Reel Strips'!$I$18)*('Reel Strips'!$J$7+'Reel Strips'!$J$18)*('Reel Strips'!$K$7+'Reel Strips'!$K$18)*('Reel Strips'!$L$7+'Reel Strips'!$L$18)+'Reel Strips'!$H$18*'Reel Strips'!$I$7*('Reel Strips'!$J$7+'Reel Strips'!$J$18)*('Reel Strips'!$K$7+'Reel Strips'!$K$18)*('Reel Strips'!$L$7+'Reel Strips'!$L$18)+'Reel Strips'!$H$18*'Reel Strips'!$I$18*'Reel Strips'!$J$7*('Reel Strips'!$K$7+'Reel Strips'!$K$18)*('Reel Strips'!$L$7+'Reel Strips'!$L$18)+'Reel Strips'!$H$18*'Reel Strips'!$I$18*'Reel Strips'!$J$18*'Reel Strips'!$K$7*('Reel Strips'!$L$7+'Reel Strips'!$L$18)+'Reel Strips'!$H$18*'Reel Strips'!$I$18*'Reel Strips'!$J$18*'Reel Strips'!$K$18*'Reel Strips'!$L$7</f>
        <v>0.000193119049072266</v>
      </c>
      <c r="D10" s="12" t="n">
        <f aca="false">Paytable!I6</f>
        <v>3</v>
      </c>
      <c r="E10" s="22" t="n">
        <f aca="false">C10*D10*10</f>
        <v>0.00579357147216797</v>
      </c>
      <c r="F10" s="23" t="n">
        <v>0.000193119049072266</v>
      </c>
    </row>
    <row r="11" customFormat="false" ht="15" hidden="false" customHeight="false" outlineLevel="0" collapsed="false">
      <c r="A11" s="6" t="s">
        <v>53</v>
      </c>
      <c r="B11" s="20" t="n">
        <v>3</v>
      </c>
      <c r="C11" s="21" t="n">
        <f aca="false">'Reel Strips'!$H$8*('Reel Strips'!$I$8+'Reel Strips'!$I$18)*('Reel Strips'!$J$8+'Reel Strips'!$J$18)*(1-'Reel Strips'!$K$8-'Reel Strips'!$K$18)+'Reel Strips'!$H$18*'Reel Strips'!$I$8*('Reel Strips'!$J$8+'Reel Strips'!$J$18)*(1-'Reel Strips'!$K$8-'Reel Strips'!$K$18)+'Reel Strips'!$H$18*'Reel Strips'!$I$18*'Reel Strips'!$J$8*(1-'Reel Strips'!$K$8-'Reel Strips'!$K$18)</f>
        <v>0.00467300415039063</v>
      </c>
      <c r="D11" s="12" t="n">
        <f aca="false">Paytable!G7</f>
        <v>0.9</v>
      </c>
      <c r="E11" s="22" t="n">
        <f aca="false">C11*D11*10</f>
        <v>0.0420570373535156</v>
      </c>
      <c r="F11" s="23" t="n">
        <v>0.00467300415039063</v>
      </c>
    </row>
    <row r="12" customFormat="false" ht="15" hidden="false" customHeight="false" outlineLevel="0" collapsed="false">
      <c r="A12" s="6" t="s">
        <v>53</v>
      </c>
      <c r="B12" s="20" t="n">
        <v>4</v>
      </c>
      <c r="C12" s="21" t="n">
        <f aca="false">'Reel Strips'!$H$8*('Reel Strips'!$I$8+'Reel Strips'!$I$18)*('Reel Strips'!$J$8+'Reel Strips'!$J$18)*('Reel Strips'!$K$8+'Reel Strips'!$K$18)*(1-'Reel Strips'!$L$8-'Reel Strips'!$L$18)+'Reel Strips'!$H$18*'Reel Strips'!$I$8*('Reel Strips'!$J$8+'Reel Strips'!$J$18)*('Reel Strips'!$K$8+'Reel Strips'!$K$18)*(1-'Reel Strips'!$L$8-'Reel Strips'!$L$18)+'Reel Strips'!$H$18*'Reel Strips'!$I$18*'Reel Strips'!$J$8*('Reel Strips'!$K$8+'Reel Strips'!$K$18)*(1-'Reel Strips'!$L$8-'Reel Strips'!$L$18)+'Reel Strips'!$H$18*'Reel Strips'!$I$18*'Reel Strips'!$J$18*'Reel Strips'!$K$8*(1-'Reel Strips'!$L$8-'Reel Strips'!$L$18)</f>
        <v>0.00106310844421387</v>
      </c>
      <c r="D12" s="12" t="n">
        <f aca="false">Paytable!H7</f>
        <v>2.4</v>
      </c>
      <c r="E12" s="22" t="n">
        <f aca="false">C12*D12*10</f>
        <v>0.0255146026611328</v>
      </c>
      <c r="F12" s="23" t="n">
        <v>0.00106310844421387</v>
      </c>
    </row>
    <row r="13" customFormat="false" ht="15" hidden="false" customHeight="false" outlineLevel="0" collapsed="false">
      <c r="A13" s="6" t="s">
        <v>53</v>
      </c>
      <c r="B13" s="20" t="n">
        <v>5</v>
      </c>
      <c r="C13" s="21" t="n">
        <f aca="false">'Reel Strips'!$H$8*('Reel Strips'!$I$8+'Reel Strips'!$I$18)*('Reel Strips'!$J$8+'Reel Strips'!$J$18)*('Reel Strips'!$K$8+'Reel Strips'!$K$18)*('Reel Strips'!$L$8+'Reel Strips'!$L$18)+'Reel Strips'!$H$18*'Reel Strips'!$I$8*('Reel Strips'!$J$8+'Reel Strips'!$J$18)*('Reel Strips'!$K$8+'Reel Strips'!$K$18)*('Reel Strips'!$L$8+'Reel Strips'!$L$18)+'Reel Strips'!$H$18*'Reel Strips'!$I$18*'Reel Strips'!$J$8*('Reel Strips'!$K$8+'Reel Strips'!$K$18)*('Reel Strips'!$L$8+'Reel Strips'!$L$18)+'Reel Strips'!$H$18*'Reel Strips'!$I$18*'Reel Strips'!$J$18*'Reel Strips'!$K$8*('Reel Strips'!$L$8+'Reel Strips'!$L$18)+'Reel Strips'!$H$18*'Reel Strips'!$I$18*'Reel Strips'!$J$18*'Reel Strips'!$K$18*'Reel Strips'!$L$8</f>
        <v>0.000245332717895508</v>
      </c>
      <c r="D13" s="12" t="n">
        <f aca="false">Paytable!I7</f>
        <v>4.5</v>
      </c>
      <c r="E13" s="22" t="n">
        <f aca="false">C13*D13*10</f>
        <v>0.0110399723052979</v>
      </c>
      <c r="F13" s="23" t="n">
        <v>0.000245332717895508</v>
      </c>
    </row>
    <row r="14" customFormat="false" ht="15" hidden="false" customHeight="false" outlineLevel="0" collapsed="false">
      <c r="A14" s="6" t="s">
        <v>55</v>
      </c>
      <c r="B14" s="20" t="n">
        <v>3</v>
      </c>
      <c r="C14" s="21" t="n">
        <f aca="false">'Reel Strips'!$H$9*('Reel Strips'!$I$9+'Reel Strips'!$I$18)*('Reel Strips'!$J$9+'Reel Strips'!$J$18)*(1-'Reel Strips'!$K$9-'Reel Strips'!$K$18)+'Reel Strips'!$H$18*'Reel Strips'!$I$9*('Reel Strips'!$J$9+'Reel Strips'!$J$18)*(1-'Reel Strips'!$K$9-'Reel Strips'!$K$18)+'Reel Strips'!$H$18*'Reel Strips'!$I$18*'Reel Strips'!$J$9*(1-'Reel Strips'!$K$9-'Reel Strips'!$K$18)</f>
        <v>0.00467300415039063</v>
      </c>
      <c r="D14" s="12" t="n">
        <f aca="false">Paytable!G8</f>
        <v>0.9</v>
      </c>
      <c r="E14" s="22" t="n">
        <f aca="false">C14*D14*10</f>
        <v>0.0420570373535156</v>
      </c>
      <c r="F14" s="23" t="n">
        <v>0.00467300415039063</v>
      </c>
    </row>
    <row r="15" customFormat="false" ht="15" hidden="false" customHeight="false" outlineLevel="0" collapsed="false">
      <c r="A15" s="6" t="s">
        <v>55</v>
      </c>
      <c r="B15" s="20" t="n">
        <v>4</v>
      </c>
      <c r="C15" s="21" t="n">
        <f aca="false">'Reel Strips'!$H$9*('Reel Strips'!$I$9+'Reel Strips'!$I$18)*('Reel Strips'!$J$9+'Reel Strips'!$J$18)*('Reel Strips'!$K$9+'Reel Strips'!$K$18)*(1-'Reel Strips'!$L$9-'Reel Strips'!$L$18)+'Reel Strips'!$H$18*'Reel Strips'!$I$9*('Reel Strips'!$J$9+'Reel Strips'!$J$18)*('Reel Strips'!$K$9+'Reel Strips'!$K$18)*(1-'Reel Strips'!$L$9-'Reel Strips'!$L$18)+'Reel Strips'!$H$18*'Reel Strips'!$I$18*'Reel Strips'!$J$9*('Reel Strips'!$K$9+'Reel Strips'!$K$18)*(1-'Reel Strips'!$L$9-'Reel Strips'!$L$18)+'Reel Strips'!$H$18*'Reel Strips'!$I$18*'Reel Strips'!$J$18*'Reel Strips'!$K$9*(1-'Reel Strips'!$L$9-'Reel Strips'!$L$18)</f>
        <v>0.00106310844421387</v>
      </c>
      <c r="D15" s="12" t="n">
        <f aca="false">Paytable!H8</f>
        <v>2.4</v>
      </c>
      <c r="E15" s="22" t="n">
        <f aca="false">C15*D15*10</f>
        <v>0.0255146026611328</v>
      </c>
      <c r="F15" s="23" t="n">
        <v>0.00106310844421387</v>
      </c>
    </row>
    <row r="16" customFormat="false" ht="15" hidden="false" customHeight="false" outlineLevel="0" collapsed="false">
      <c r="A16" s="6" t="s">
        <v>55</v>
      </c>
      <c r="B16" s="20" t="n">
        <v>5</v>
      </c>
      <c r="C16" s="21" t="n">
        <f aca="false">'Reel Strips'!$H$9*('Reel Strips'!$I$9+'Reel Strips'!$I$18)*('Reel Strips'!$J$9+'Reel Strips'!$J$18)*('Reel Strips'!$K$9+'Reel Strips'!$K$18)*('Reel Strips'!$L$9+'Reel Strips'!$L$18)+'Reel Strips'!$H$18*'Reel Strips'!$I$9*('Reel Strips'!$J$9+'Reel Strips'!$J$18)*('Reel Strips'!$K$9+'Reel Strips'!$K$18)*('Reel Strips'!$L$9+'Reel Strips'!$L$18)+'Reel Strips'!$H$18*'Reel Strips'!$I$18*'Reel Strips'!$J$9*('Reel Strips'!$K$9+'Reel Strips'!$K$18)*('Reel Strips'!$L$9+'Reel Strips'!$L$18)+'Reel Strips'!$H$18*'Reel Strips'!$I$18*'Reel Strips'!$J$18*'Reel Strips'!$K$9*('Reel Strips'!$L$9+'Reel Strips'!$L$18)+'Reel Strips'!$H$18*'Reel Strips'!$I$18*'Reel Strips'!$J$18*'Reel Strips'!$K$18*'Reel Strips'!$L$9</f>
        <v>0.000245332717895508</v>
      </c>
      <c r="D16" s="12" t="n">
        <f aca="false">Paytable!I8</f>
        <v>4.5</v>
      </c>
      <c r="E16" s="22" t="n">
        <f aca="false">C16*D16*10</f>
        <v>0.0110399723052979</v>
      </c>
      <c r="F16" s="23" t="n">
        <v>0.000245332717895508</v>
      </c>
    </row>
    <row r="17" customFormat="false" ht="15" hidden="false" customHeight="false" outlineLevel="0" collapsed="false">
      <c r="A17" s="6" t="s">
        <v>57</v>
      </c>
      <c r="B17" s="20" t="n">
        <v>3</v>
      </c>
      <c r="C17" s="21" t="n">
        <f aca="false">'Reel Strips'!$H$10*('Reel Strips'!$I$10+'Reel Strips'!$I$18)*('Reel Strips'!$J$10+'Reel Strips'!$J$18)*(1-'Reel Strips'!$K$10-'Reel Strips'!$K$18)+'Reel Strips'!$H$18*'Reel Strips'!$I$10*('Reel Strips'!$J$10+'Reel Strips'!$J$18)*(1-'Reel Strips'!$K$10-'Reel Strips'!$K$18)+'Reel Strips'!$H$18*'Reel Strips'!$I$18*'Reel Strips'!$J$10*(1-'Reel Strips'!$K$10-'Reel Strips'!$K$18)</f>
        <v>0.00267791748046875</v>
      </c>
      <c r="D17" s="12" t="n">
        <f aca="false">Paytable!G9</f>
        <v>1.2</v>
      </c>
      <c r="E17" s="22" t="n">
        <f aca="false">C17*D17*10</f>
        <v>0.032135009765625</v>
      </c>
      <c r="F17" s="23" t="n">
        <v>0.00267791748046875</v>
      </c>
    </row>
    <row r="18" customFormat="false" ht="15" hidden="false" customHeight="false" outlineLevel="0" collapsed="false">
      <c r="A18" s="6" t="s">
        <v>57</v>
      </c>
      <c r="B18" s="20" t="n">
        <v>4</v>
      </c>
      <c r="C18" s="21" t="n">
        <f aca="false">'Reel Strips'!$H$10*('Reel Strips'!$I$10+'Reel Strips'!$I$18)*('Reel Strips'!$J$10+'Reel Strips'!$J$18)*('Reel Strips'!$K$10+'Reel Strips'!$K$18)*(1-'Reel Strips'!$L$10-'Reel Strips'!$L$18)+'Reel Strips'!$H$18*'Reel Strips'!$I$10*('Reel Strips'!$J$10+'Reel Strips'!$J$18)*('Reel Strips'!$K$10+'Reel Strips'!$K$18)*(1-'Reel Strips'!$L$10-'Reel Strips'!$L$18)+'Reel Strips'!$H$18*'Reel Strips'!$I$18*'Reel Strips'!$J$10*('Reel Strips'!$K$10+'Reel Strips'!$K$18)*(1-'Reel Strips'!$L$10-'Reel Strips'!$L$18)+'Reel Strips'!$H$18*'Reel Strips'!$I$18*'Reel Strips'!$J$18*'Reel Strips'!$K$10*(1-'Reel Strips'!$L$10-'Reel Strips'!$L$18)</f>
        <v>0.000521421432495117</v>
      </c>
      <c r="D18" s="12" t="n">
        <f aca="false">Paytable!H9</f>
        <v>3</v>
      </c>
      <c r="E18" s="22" t="n">
        <f aca="false">C18*D18*10</f>
        <v>0.0156426429748535</v>
      </c>
      <c r="F18" s="23" t="n">
        <v>0.000521421432495117</v>
      </c>
    </row>
    <row r="19" customFormat="false" ht="15" hidden="false" customHeight="false" outlineLevel="0" collapsed="false">
      <c r="A19" s="6" t="s">
        <v>57</v>
      </c>
      <c r="B19" s="20" t="n">
        <v>5</v>
      </c>
      <c r="C19" s="21" t="n">
        <f aca="false">'Reel Strips'!$H$10*('Reel Strips'!$I$10+'Reel Strips'!$I$18)*('Reel Strips'!$J$10+'Reel Strips'!$J$18)*('Reel Strips'!$K$10+'Reel Strips'!$K$18)*('Reel Strips'!$L$10+'Reel Strips'!$L$18)+'Reel Strips'!$H$18*'Reel Strips'!$I$10*('Reel Strips'!$J$10+'Reel Strips'!$J$18)*('Reel Strips'!$K$10+'Reel Strips'!$K$18)*('Reel Strips'!$L$10+'Reel Strips'!$L$18)+'Reel Strips'!$H$18*'Reel Strips'!$I$18*'Reel Strips'!$J$10*('Reel Strips'!$K$10+'Reel Strips'!$K$18)*('Reel Strips'!$L$10+'Reel Strips'!$L$18)+'Reel Strips'!$H$18*'Reel Strips'!$I$18*'Reel Strips'!$J$18*'Reel Strips'!$K$10*('Reel Strips'!$L$10+'Reel Strips'!$L$18)+'Reel Strips'!$H$18*'Reel Strips'!$I$18*'Reel Strips'!$J$18*'Reel Strips'!$K$18*'Reel Strips'!$L$10</f>
        <v>9.65595245361328E-005</v>
      </c>
      <c r="D19" s="12" t="n">
        <f aca="false">Paytable!I9</f>
        <v>7.5</v>
      </c>
      <c r="E19" s="22" t="n">
        <f aca="false">C19*D19*10</f>
        <v>0.00724196434020996</v>
      </c>
      <c r="F19" s="23" t="n">
        <v>9.65595245361328E-005</v>
      </c>
    </row>
    <row r="20" customFormat="false" ht="15" hidden="false" customHeight="false" outlineLevel="0" collapsed="false">
      <c r="A20" s="6" t="s">
        <v>60</v>
      </c>
      <c r="B20" s="20" t="n">
        <v>3</v>
      </c>
      <c r="C20" s="21" t="n">
        <f aca="false">'Reel Strips'!$H$11*('Reel Strips'!$I$11+'Reel Strips'!$I$18)*('Reel Strips'!$J$11+'Reel Strips'!$J$18)*(1-'Reel Strips'!$K$11-'Reel Strips'!$K$18)+'Reel Strips'!$H$18*'Reel Strips'!$I$11*('Reel Strips'!$J$11+'Reel Strips'!$J$18)*(1-'Reel Strips'!$K$11-'Reel Strips'!$K$18)+'Reel Strips'!$H$18*'Reel Strips'!$I$18*'Reel Strips'!$J$11*(1-'Reel Strips'!$K$11-'Reel Strips'!$K$18)</f>
        <v>0.00193119049072266</v>
      </c>
      <c r="D20" s="12" t="n">
        <f aca="false">Paytable!G10</f>
        <v>1.5</v>
      </c>
      <c r="E20" s="22" t="n">
        <f aca="false">C20*D20*10</f>
        <v>0.0289678573608398</v>
      </c>
      <c r="F20" s="23" t="n">
        <v>0.00193119049072266</v>
      </c>
    </row>
    <row r="21" customFormat="false" ht="15" hidden="false" customHeight="false" outlineLevel="0" collapsed="false">
      <c r="A21" s="6" t="s">
        <v>60</v>
      </c>
      <c r="B21" s="20" t="n">
        <v>4</v>
      </c>
      <c r="C21" s="21" t="n">
        <f aca="false">'Reel Strips'!$H$11*('Reel Strips'!$I$11+'Reel Strips'!$I$18)*('Reel Strips'!$J$11+'Reel Strips'!$J$18)*('Reel Strips'!$K$11+'Reel Strips'!$K$18)*(1-'Reel Strips'!$L$11-'Reel Strips'!$L$18)+'Reel Strips'!$H$18*'Reel Strips'!$I$11*('Reel Strips'!$J$11+'Reel Strips'!$J$18)*('Reel Strips'!$K$11+'Reel Strips'!$K$18)*(1-'Reel Strips'!$L$11-'Reel Strips'!$L$18)+'Reel Strips'!$H$18*'Reel Strips'!$I$18*'Reel Strips'!$J$11*('Reel Strips'!$K$11+'Reel Strips'!$K$18)*(1-'Reel Strips'!$L$11-'Reel Strips'!$L$18)+'Reel Strips'!$H$18*'Reel Strips'!$I$18*'Reel Strips'!$J$18*'Reel Strips'!$K$11*(1-'Reel Strips'!$L$11-'Reel Strips'!$L$18)</f>
        <v>0.000301748514175415</v>
      </c>
      <c r="D21" s="12" t="n">
        <f aca="false">Paytable!H10</f>
        <v>3.6</v>
      </c>
      <c r="E21" s="22" t="n">
        <f aca="false">C21*D21*10</f>
        <v>0.0108629465103149</v>
      </c>
      <c r="F21" s="23" t="n">
        <v>0.000301748514175415</v>
      </c>
    </row>
    <row r="22" customFormat="false" ht="15" hidden="false" customHeight="false" outlineLevel="0" collapsed="false">
      <c r="A22" s="6" t="s">
        <v>60</v>
      </c>
      <c r="B22" s="20" t="n">
        <v>5</v>
      </c>
      <c r="C22" s="21" t="n">
        <f aca="false">'Reel Strips'!$H$11*('Reel Strips'!$I$11+'Reel Strips'!$I$18)*('Reel Strips'!$J$11+'Reel Strips'!$J$18)*('Reel Strips'!$K$11+'Reel Strips'!$K$18)*('Reel Strips'!$L$11+'Reel Strips'!$L$18)+'Reel Strips'!$H$18*'Reel Strips'!$I$11*('Reel Strips'!$J$11+'Reel Strips'!$J$18)*('Reel Strips'!$K$11+'Reel Strips'!$K$18)*('Reel Strips'!$L$11+'Reel Strips'!$L$18)+'Reel Strips'!$H$18*'Reel Strips'!$I$18*'Reel Strips'!$J$11*('Reel Strips'!$K$11+'Reel Strips'!$K$18)*('Reel Strips'!$L$11+'Reel Strips'!$L$18)+'Reel Strips'!$H$18*'Reel Strips'!$I$18*'Reel Strips'!$J$18*'Reel Strips'!$K$11*('Reel Strips'!$L$11+'Reel Strips'!$L$18)+'Reel Strips'!$H$18*'Reel Strips'!$I$18*'Reel Strips'!$J$18*'Reel Strips'!$K$18*'Reel Strips'!$L$11</f>
        <v>5.58793544769287E-005</v>
      </c>
      <c r="D22" s="12" t="n">
        <f aca="false">Paytable!I10</f>
        <v>9</v>
      </c>
      <c r="E22" s="22" t="n">
        <f aca="false">C22*D22*10</f>
        <v>0.00502914190292358</v>
      </c>
      <c r="F22" s="23" t="n">
        <v>5.58793544769287E-005</v>
      </c>
    </row>
    <row r="23" customFormat="false" ht="15" hidden="false" customHeight="false" outlineLevel="0" collapsed="false">
      <c r="A23" s="6" t="s">
        <v>62</v>
      </c>
      <c r="B23" s="20" t="n">
        <v>3</v>
      </c>
      <c r="C23" s="21" t="n">
        <f aca="false">'Reel Strips'!$H$12*('Reel Strips'!$I$12+'Reel Strips'!$I$18)*('Reel Strips'!$J$12+'Reel Strips'!$J$18)*(1-'Reel Strips'!$K$12-'Reel Strips'!$K$18)+'Reel Strips'!$H$18*'Reel Strips'!$I$12*('Reel Strips'!$J$12+'Reel Strips'!$J$18)*(1-'Reel Strips'!$K$12-'Reel Strips'!$K$18)+'Reel Strips'!$H$18*'Reel Strips'!$I$18*'Reel Strips'!$J$12*(1-'Reel Strips'!$K$12-'Reel Strips'!$K$18)</f>
        <v>0.00128746032714844</v>
      </c>
      <c r="D23" s="12" t="n">
        <f aca="false">Paytable!G11</f>
        <v>1.8</v>
      </c>
      <c r="E23" s="22" t="n">
        <f aca="false">C23*D23*10</f>
        <v>0.0231742858886719</v>
      </c>
      <c r="F23" s="23" t="n">
        <v>0.00128746032714844</v>
      </c>
    </row>
    <row r="24" customFormat="false" ht="15" hidden="false" customHeight="false" outlineLevel="0" collapsed="false">
      <c r="A24" s="6" t="s">
        <v>62</v>
      </c>
      <c r="B24" s="20" t="n">
        <v>4</v>
      </c>
      <c r="C24" s="21" t="n">
        <f aca="false">'Reel Strips'!$H$12*('Reel Strips'!$I$12+'Reel Strips'!$I$18)*('Reel Strips'!$J$12+'Reel Strips'!$J$18)*('Reel Strips'!$K$12+'Reel Strips'!$K$18)*(1-'Reel Strips'!$L$12-'Reel Strips'!$L$18)+'Reel Strips'!$H$18*'Reel Strips'!$I$12*('Reel Strips'!$J$12+'Reel Strips'!$J$18)*('Reel Strips'!$K$12+'Reel Strips'!$K$18)*(1-'Reel Strips'!$L$12-'Reel Strips'!$L$18)+'Reel Strips'!$H$18*'Reel Strips'!$I$18*'Reel Strips'!$J$12*('Reel Strips'!$K$12+'Reel Strips'!$K$18)*(1-'Reel Strips'!$L$12-'Reel Strips'!$L$18)+'Reel Strips'!$H$18*'Reel Strips'!$I$18*'Reel Strips'!$J$18*'Reel Strips'!$K$12*(1-'Reel Strips'!$L$12-'Reel Strips'!$L$18)</f>
        <v>0.000208616256713867</v>
      </c>
      <c r="D24" s="12" t="n">
        <f aca="false">Paytable!H11</f>
        <v>4.5</v>
      </c>
      <c r="E24" s="22" t="n">
        <f aca="false">C24*D24*10</f>
        <v>0.00938773155212402</v>
      </c>
      <c r="F24" s="23" t="n">
        <v>0.000208616256713867</v>
      </c>
    </row>
    <row r="25" customFormat="false" ht="15" hidden="false" customHeight="false" outlineLevel="0" collapsed="false">
      <c r="A25" s="6" t="s">
        <v>62</v>
      </c>
      <c r="B25" s="20" t="n">
        <v>5</v>
      </c>
      <c r="C25" s="21" t="n">
        <f aca="false">'Reel Strips'!$H$12*('Reel Strips'!$I$12+'Reel Strips'!$I$18)*('Reel Strips'!$J$12+'Reel Strips'!$J$18)*('Reel Strips'!$K$12+'Reel Strips'!$K$18)*('Reel Strips'!$L$12+'Reel Strips'!$L$18)+'Reel Strips'!$H$18*'Reel Strips'!$I$12*('Reel Strips'!$J$12+'Reel Strips'!$J$18)*('Reel Strips'!$K$12+'Reel Strips'!$K$18)*('Reel Strips'!$L$12+'Reel Strips'!$L$18)+'Reel Strips'!$H$18*'Reel Strips'!$I$18*'Reel Strips'!$J$12*('Reel Strips'!$K$12+'Reel Strips'!$K$18)*('Reel Strips'!$L$12+'Reel Strips'!$L$18)+'Reel Strips'!$H$18*'Reel Strips'!$I$18*'Reel Strips'!$J$18*'Reel Strips'!$K$12*('Reel Strips'!$L$12+'Reel Strips'!$L$18)+'Reel Strips'!$H$18*'Reel Strips'!$I$18*'Reel Strips'!$J$18*'Reel Strips'!$K$18*'Reel Strips'!$L$12</f>
        <v>2.98023223876953E-005</v>
      </c>
      <c r="D25" s="12" t="n">
        <f aca="false">Paytable!I11</f>
        <v>12</v>
      </c>
      <c r="E25" s="22" t="n">
        <f aca="false">C25*D25*10</f>
        <v>0.00357627868652344</v>
      </c>
      <c r="F25" s="23" t="n">
        <v>2.98023223876953E-005</v>
      </c>
    </row>
    <row r="26" customFormat="false" ht="15" hidden="false" customHeight="false" outlineLevel="0" collapsed="false">
      <c r="A26" s="6" t="s">
        <v>64</v>
      </c>
      <c r="B26" s="20" t="n">
        <v>3</v>
      </c>
      <c r="C26" s="21" t="n">
        <f aca="false">'Reel Strips'!$H$13*('Reel Strips'!$I$13+'Reel Strips'!$I$18)*('Reel Strips'!$J$13+'Reel Strips'!$J$18)*(1-'Reel Strips'!$K$13-'Reel Strips'!$K$18)+'Reel Strips'!$H$18*'Reel Strips'!$I$13*('Reel Strips'!$J$13+'Reel Strips'!$J$18)*(1-'Reel Strips'!$K$13-'Reel Strips'!$K$18)+'Reel Strips'!$H$18*'Reel Strips'!$I$18*'Reel Strips'!$J$13*(1-'Reel Strips'!$K$13-'Reel Strips'!$K$18)</f>
        <v>0.00128746032714844</v>
      </c>
      <c r="D26" s="12" t="n">
        <f aca="false">Paytable!G12</f>
        <v>2.4</v>
      </c>
      <c r="E26" s="22" t="n">
        <f aca="false">C26*D26*10</f>
        <v>0.0308990478515625</v>
      </c>
      <c r="F26" s="23" t="n">
        <v>0.00128746032714844</v>
      </c>
    </row>
    <row r="27" customFormat="false" ht="15" hidden="false" customHeight="false" outlineLevel="0" collapsed="false">
      <c r="A27" s="6" t="s">
        <v>64</v>
      </c>
      <c r="B27" s="20" t="n">
        <v>4</v>
      </c>
      <c r="C27" s="21" t="n">
        <f aca="false">'Reel Strips'!$H$13*('Reel Strips'!$I$13+'Reel Strips'!$I$18)*('Reel Strips'!$J$13+'Reel Strips'!$J$18)*('Reel Strips'!$K$13+'Reel Strips'!$K$18)*(1-'Reel Strips'!$L$13-'Reel Strips'!$L$18)+'Reel Strips'!$H$18*'Reel Strips'!$I$13*('Reel Strips'!$J$13+'Reel Strips'!$J$18)*('Reel Strips'!$K$13+'Reel Strips'!$K$18)*(1-'Reel Strips'!$L$13-'Reel Strips'!$L$18)+'Reel Strips'!$H$18*'Reel Strips'!$I$18*'Reel Strips'!$J$13*('Reel Strips'!$K$13+'Reel Strips'!$K$18)*(1-'Reel Strips'!$L$13-'Reel Strips'!$L$18)+'Reel Strips'!$H$18*'Reel Strips'!$I$18*'Reel Strips'!$J$18*'Reel Strips'!$K$13*(1-'Reel Strips'!$L$13-'Reel Strips'!$L$18)</f>
        <v>0.000208616256713867</v>
      </c>
      <c r="D27" s="12" t="n">
        <f aca="false">Paytable!H12</f>
        <v>6</v>
      </c>
      <c r="E27" s="22" t="n">
        <f aca="false">C27*D27*10</f>
        <v>0.012516975402832</v>
      </c>
      <c r="F27" s="23" t="n">
        <v>0.000208616256713867</v>
      </c>
    </row>
    <row r="28" customFormat="false" ht="15" hidden="false" customHeight="false" outlineLevel="0" collapsed="false">
      <c r="A28" s="6" t="s">
        <v>64</v>
      </c>
      <c r="B28" s="20" t="n">
        <v>5</v>
      </c>
      <c r="C28" s="21" t="n">
        <f aca="false">'Reel Strips'!$H$13*('Reel Strips'!$I$13+'Reel Strips'!$I$18)*('Reel Strips'!$J$13+'Reel Strips'!$J$18)*('Reel Strips'!$K$13+'Reel Strips'!$K$18)*('Reel Strips'!$L$13+'Reel Strips'!$L$18)+'Reel Strips'!$H$18*'Reel Strips'!$I$13*('Reel Strips'!$J$13+'Reel Strips'!$J$18)*('Reel Strips'!$K$13+'Reel Strips'!$K$18)*('Reel Strips'!$L$13+'Reel Strips'!$L$18)+'Reel Strips'!$H$18*'Reel Strips'!$I$18*'Reel Strips'!$J$13*('Reel Strips'!$K$13+'Reel Strips'!$K$18)*('Reel Strips'!$L$13+'Reel Strips'!$L$18)+'Reel Strips'!$H$18*'Reel Strips'!$I$18*'Reel Strips'!$J$18*'Reel Strips'!$K$13*('Reel Strips'!$L$13+'Reel Strips'!$L$18)+'Reel Strips'!$H$18*'Reel Strips'!$I$18*'Reel Strips'!$J$18*'Reel Strips'!$K$18*'Reel Strips'!$L$13</f>
        <v>2.98023223876953E-005</v>
      </c>
      <c r="D28" s="12" t="n">
        <f aca="false">Paytable!I12</f>
        <v>15</v>
      </c>
      <c r="E28" s="22" t="n">
        <f aca="false">C28*D28*10</f>
        <v>0.0044703483581543</v>
      </c>
      <c r="F28" s="23" t="n">
        <v>2.98023223876953E-005</v>
      </c>
    </row>
    <row r="29" customFormat="false" ht="15" hidden="false" customHeight="false" outlineLevel="0" collapsed="false">
      <c r="A29" s="6" t="s">
        <v>66</v>
      </c>
      <c r="B29" s="20" t="n">
        <v>3</v>
      </c>
      <c r="C29" s="21" t="n">
        <f aca="false">'Reel Strips'!$H$14*('Reel Strips'!$I$14+'Reel Strips'!$I$18)*('Reel Strips'!$J$14+'Reel Strips'!$J$18)*(1-'Reel Strips'!$K$14-'Reel Strips'!$K$18)+'Reel Strips'!$H$18*'Reel Strips'!$I$14*('Reel Strips'!$J$14+'Reel Strips'!$J$18)*(1-'Reel Strips'!$K$14-'Reel Strips'!$K$18)+'Reel Strips'!$H$18*'Reel Strips'!$I$18*'Reel Strips'!$J$14*(1-'Reel Strips'!$K$14-'Reel Strips'!$K$18)</f>
        <v>0.00042724609375</v>
      </c>
      <c r="D29" s="12" t="n">
        <f aca="false">Paytable!G13</f>
        <v>3</v>
      </c>
      <c r="E29" s="22" t="n">
        <f aca="false">C29*D29*10</f>
        <v>0.0128173828125</v>
      </c>
      <c r="F29" s="23" t="n">
        <v>0.00042724609375</v>
      </c>
    </row>
    <row r="30" customFormat="false" ht="15" hidden="false" customHeight="false" outlineLevel="0" collapsed="false">
      <c r="A30" s="6" t="s">
        <v>66</v>
      </c>
      <c r="B30" s="20" t="n">
        <v>4</v>
      </c>
      <c r="C30" s="21" t="n">
        <f aca="false">'Reel Strips'!$H$14*('Reel Strips'!$I$14+'Reel Strips'!$I$18)*('Reel Strips'!$J$14+'Reel Strips'!$J$18)*('Reel Strips'!$K$14+'Reel Strips'!$K$18)*(1-'Reel Strips'!$L$14-'Reel Strips'!$L$18)+'Reel Strips'!$H$18*'Reel Strips'!$I$14*('Reel Strips'!$J$14+'Reel Strips'!$J$18)*('Reel Strips'!$K$14+'Reel Strips'!$K$18)*(1-'Reel Strips'!$L$14-'Reel Strips'!$L$18)+'Reel Strips'!$H$18*'Reel Strips'!$I$18*'Reel Strips'!$J$14*('Reel Strips'!$K$14+'Reel Strips'!$K$18)*(1-'Reel Strips'!$L$14-'Reel Strips'!$L$18)+'Reel Strips'!$H$18*'Reel Strips'!$I$18*'Reel Strips'!$J$18*'Reel Strips'!$K$14*(1-'Reel Strips'!$L$14-'Reel Strips'!$L$18)</f>
        <v>5.53131103515625E-005</v>
      </c>
      <c r="D30" s="12" t="n">
        <f aca="false">Paytable!H13</f>
        <v>7.5</v>
      </c>
      <c r="E30" s="22" t="n">
        <f aca="false">C30*D30*10</f>
        <v>0.00414848327636719</v>
      </c>
      <c r="F30" s="23" t="n">
        <v>5.53131103515625E-005</v>
      </c>
    </row>
    <row r="31" customFormat="false" ht="15" hidden="false" customHeight="false" outlineLevel="0" collapsed="false">
      <c r="A31" s="6" t="s">
        <v>66</v>
      </c>
      <c r="B31" s="20" t="n">
        <v>5</v>
      </c>
      <c r="C31" s="21" t="n">
        <f aca="false">'Reel Strips'!$H$14*('Reel Strips'!$I$14+'Reel Strips'!$I$18)*('Reel Strips'!$J$14+'Reel Strips'!$J$18)*('Reel Strips'!$K$14+'Reel Strips'!$K$18)*('Reel Strips'!$L$14+'Reel Strips'!$L$18)+'Reel Strips'!$H$18*'Reel Strips'!$I$14*('Reel Strips'!$J$14+'Reel Strips'!$J$18)*('Reel Strips'!$K$14+'Reel Strips'!$K$18)*('Reel Strips'!$L$14+'Reel Strips'!$L$18)+'Reel Strips'!$H$18*'Reel Strips'!$I$18*'Reel Strips'!$J$14*('Reel Strips'!$K$14+'Reel Strips'!$K$18)*('Reel Strips'!$L$14+'Reel Strips'!$L$18)+'Reel Strips'!$H$18*'Reel Strips'!$I$18*'Reel Strips'!$J$18*'Reel Strips'!$K$14*('Reel Strips'!$L$14+'Reel Strips'!$L$18)+'Reel Strips'!$H$18*'Reel Strips'!$I$18*'Reel Strips'!$J$18*'Reel Strips'!$K$18*'Reel Strips'!$L$14</f>
        <v>5.7220458984375E-006</v>
      </c>
      <c r="D31" s="12" t="n">
        <f aca="false">Paytable!I13</f>
        <v>18</v>
      </c>
      <c r="E31" s="22" t="n">
        <f aca="false">C31*D31*10</f>
        <v>0.00102996826171875</v>
      </c>
      <c r="F31" s="23" t="n">
        <v>5.7220458984375E-006</v>
      </c>
    </row>
    <row r="32" customFormat="false" ht="15" hidden="false" customHeight="false" outlineLevel="0" collapsed="false">
      <c r="A32" s="6" t="s">
        <v>69</v>
      </c>
      <c r="B32" s="20" t="n">
        <v>3</v>
      </c>
      <c r="C32" s="21" t="n">
        <f aca="false">'Reel Strips'!$H$15*('Reel Strips'!$I$15+'Reel Strips'!$I$18)*('Reel Strips'!$J$15+'Reel Strips'!$J$18)*(1-'Reel Strips'!$K$15-'Reel Strips'!$K$18)+'Reel Strips'!$H$18*'Reel Strips'!$I$15*('Reel Strips'!$J$15+'Reel Strips'!$J$18)*(1-'Reel Strips'!$K$15-'Reel Strips'!$K$18)+'Reel Strips'!$H$18*'Reel Strips'!$I$18*'Reel Strips'!$J$15*(1-'Reel Strips'!$K$15-'Reel Strips'!$K$18)</f>
        <v>0.00042724609375</v>
      </c>
      <c r="D32" s="12" t="n">
        <f aca="false">Paytable!G14</f>
        <v>3.6</v>
      </c>
      <c r="E32" s="22" t="n">
        <f aca="false">C32*D32*10</f>
        <v>0.015380859375</v>
      </c>
      <c r="F32" s="23" t="n">
        <v>0.00042724609375</v>
      </c>
    </row>
    <row r="33" customFormat="false" ht="15" hidden="false" customHeight="false" outlineLevel="0" collapsed="false">
      <c r="A33" s="6" t="s">
        <v>69</v>
      </c>
      <c r="B33" s="20" t="n">
        <v>4</v>
      </c>
      <c r="C33" s="21" t="n">
        <f aca="false">'Reel Strips'!$H$15*('Reel Strips'!$I$15+'Reel Strips'!$I$18)*('Reel Strips'!$J$15+'Reel Strips'!$J$18)*('Reel Strips'!$K$15+'Reel Strips'!$K$18)*(1-'Reel Strips'!$L$15-'Reel Strips'!$L$18)+'Reel Strips'!$H$18*'Reel Strips'!$I$15*('Reel Strips'!$J$15+'Reel Strips'!$J$18)*('Reel Strips'!$K$15+'Reel Strips'!$K$18)*(1-'Reel Strips'!$L$15-'Reel Strips'!$L$18)+'Reel Strips'!$H$18*'Reel Strips'!$I$18*'Reel Strips'!$J$15*('Reel Strips'!$K$15+'Reel Strips'!$K$18)*(1-'Reel Strips'!$L$15-'Reel Strips'!$L$18)+'Reel Strips'!$H$18*'Reel Strips'!$I$18*'Reel Strips'!$J$18*'Reel Strips'!$K$15*(1-'Reel Strips'!$L$15-'Reel Strips'!$L$18)</f>
        <v>5.53131103515625E-005</v>
      </c>
      <c r="D33" s="12" t="n">
        <f aca="false">Paytable!H14</f>
        <v>9</v>
      </c>
      <c r="E33" s="22" t="n">
        <f aca="false">C33*D33*10</f>
        <v>0.00497817993164063</v>
      </c>
      <c r="F33" s="23" t="n">
        <v>5.53131103515625E-005</v>
      </c>
    </row>
    <row r="34" customFormat="false" ht="15" hidden="false" customHeight="false" outlineLevel="0" collapsed="false">
      <c r="A34" s="6" t="s">
        <v>69</v>
      </c>
      <c r="B34" s="20" t="n">
        <v>5</v>
      </c>
      <c r="C34" s="21" t="n">
        <f aca="false">'Reel Strips'!$H$15*('Reel Strips'!$I$15+'Reel Strips'!$I$18)*('Reel Strips'!$J$15+'Reel Strips'!$J$18)*('Reel Strips'!$K$15+'Reel Strips'!$K$18)*('Reel Strips'!$L$15+'Reel Strips'!$L$18)+'Reel Strips'!$H$18*'Reel Strips'!$I$15*('Reel Strips'!$J$15+'Reel Strips'!$J$18)*('Reel Strips'!$K$15+'Reel Strips'!$K$18)*('Reel Strips'!$L$15+'Reel Strips'!$L$18)+'Reel Strips'!$H$18*'Reel Strips'!$I$18*'Reel Strips'!$J$15*('Reel Strips'!$K$15+'Reel Strips'!$K$18)*('Reel Strips'!$L$15+'Reel Strips'!$L$18)+'Reel Strips'!$H$18*'Reel Strips'!$I$18*'Reel Strips'!$J$18*'Reel Strips'!$K$15*('Reel Strips'!$L$15+'Reel Strips'!$L$18)+'Reel Strips'!$H$18*'Reel Strips'!$I$18*'Reel Strips'!$J$18*'Reel Strips'!$K$18*'Reel Strips'!$L$15</f>
        <v>5.7220458984375E-006</v>
      </c>
      <c r="D34" s="12" t="n">
        <f aca="false">Paytable!I14</f>
        <v>24</v>
      </c>
      <c r="E34" s="22" t="n">
        <f aca="false">C34*D34*10</f>
        <v>0.001373291015625</v>
      </c>
      <c r="F34" s="23" t="n">
        <v>5.7220458984375E-006</v>
      </c>
    </row>
    <row r="35" customFormat="false" ht="15" hidden="false" customHeight="false" outlineLevel="0" collapsed="false">
      <c r="A35" s="6" t="s">
        <v>71</v>
      </c>
      <c r="B35" s="20" t="n">
        <v>3</v>
      </c>
      <c r="C35" s="21" t="n">
        <f aca="false">'Reel Strips'!$H$16*('Reel Strips'!$I$16+'Reel Strips'!$I$18)*('Reel Strips'!$J$16+'Reel Strips'!$J$18)*(1-'Reel Strips'!$K$16-'Reel Strips'!$K$18)+'Reel Strips'!$H$18*'Reel Strips'!$I$16*('Reel Strips'!$J$16+'Reel Strips'!$J$18)*(1-'Reel Strips'!$K$16-'Reel Strips'!$K$18)+'Reel Strips'!$H$18*'Reel Strips'!$I$18*'Reel Strips'!$J$16*(1-'Reel Strips'!$K$16-'Reel Strips'!$K$18)</f>
        <v>0.00042724609375</v>
      </c>
      <c r="D35" s="12" t="n">
        <f aca="false">Paytable!G15</f>
        <v>4.5</v>
      </c>
      <c r="E35" s="22" t="n">
        <f aca="false">C35*D35*10</f>
        <v>0.01922607421875</v>
      </c>
      <c r="F35" s="23" t="n">
        <v>0.00042724609375</v>
      </c>
    </row>
    <row r="36" customFormat="false" ht="15" hidden="false" customHeight="false" outlineLevel="0" collapsed="false">
      <c r="A36" s="6" t="s">
        <v>71</v>
      </c>
      <c r="B36" s="20" t="n">
        <v>4</v>
      </c>
      <c r="C36" s="21" t="n">
        <f aca="false">'Reel Strips'!$H$16*('Reel Strips'!$I$16+'Reel Strips'!$I$18)*('Reel Strips'!$J$16+'Reel Strips'!$J$18)*('Reel Strips'!$K$16+'Reel Strips'!$K$18)*(1-'Reel Strips'!$L$16-'Reel Strips'!$L$18)+'Reel Strips'!$H$18*'Reel Strips'!$I$16*('Reel Strips'!$J$16+'Reel Strips'!$J$18)*('Reel Strips'!$K$16+'Reel Strips'!$K$18)*(1-'Reel Strips'!$L$16-'Reel Strips'!$L$18)+'Reel Strips'!$H$18*'Reel Strips'!$I$18*'Reel Strips'!$J$16*('Reel Strips'!$K$16+'Reel Strips'!$K$18)*(1-'Reel Strips'!$L$16-'Reel Strips'!$L$18)+'Reel Strips'!$H$18*'Reel Strips'!$I$18*'Reel Strips'!$J$18*'Reel Strips'!$K$16*(1-'Reel Strips'!$L$16-'Reel Strips'!$L$18)</f>
        <v>5.53131103515625E-005</v>
      </c>
      <c r="D36" s="12" t="n">
        <f aca="false">Paytable!H15</f>
        <v>12</v>
      </c>
      <c r="E36" s="22" t="n">
        <f aca="false">C36*D36*10</f>
        <v>0.0066375732421875</v>
      </c>
      <c r="F36" s="23" t="n">
        <v>5.53131103515625E-005</v>
      </c>
    </row>
    <row r="37" customFormat="false" ht="15" hidden="false" customHeight="false" outlineLevel="0" collapsed="false">
      <c r="A37" s="6" t="s">
        <v>71</v>
      </c>
      <c r="B37" s="20" t="n">
        <v>5</v>
      </c>
      <c r="C37" s="21" t="n">
        <f aca="false">'Reel Strips'!$H$16*('Reel Strips'!$I$16+'Reel Strips'!$I$18)*('Reel Strips'!$J$16+'Reel Strips'!$J$18)*('Reel Strips'!$K$16+'Reel Strips'!$K$18)*('Reel Strips'!$L$16+'Reel Strips'!$L$18)+'Reel Strips'!$H$18*'Reel Strips'!$I$16*('Reel Strips'!$J$16+'Reel Strips'!$J$18)*('Reel Strips'!$K$16+'Reel Strips'!$K$18)*('Reel Strips'!$L$16+'Reel Strips'!$L$18)+'Reel Strips'!$H$18*'Reel Strips'!$I$18*'Reel Strips'!$J$16*('Reel Strips'!$K$16+'Reel Strips'!$K$18)*('Reel Strips'!$L$16+'Reel Strips'!$L$18)+'Reel Strips'!$H$18*'Reel Strips'!$I$18*'Reel Strips'!$J$18*'Reel Strips'!$K$16*('Reel Strips'!$L$16+'Reel Strips'!$L$18)+'Reel Strips'!$H$18*'Reel Strips'!$I$18*'Reel Strips'!$J$18*'Reel Strips'!$K$18*'Reel Strips'!$L$16</f>
        <v>5.7220458984375E-006</v>
      </c>
      <c r="D37" s="12" t="n">
        <f aca="false">Paytable!I15</f>
        <v>36</v>
      </c>
      <c r="E37" s="22" t="n">
        <f aca="false">C37*D37*10</f>
        <v>0.0020599365234375</v>
      </c>
      <c r="F37" s="23" t="n">
        <v>5.7220458984375E-006</v>
      </c>
    </row>
    <row r="38" customFormat="false" ht="15" hidden="false" customHeight="false" outlineLevel="0" collapsed="false">
      <c r="A38" s="6" t="s">
        <v>73</v>
      </c>
      <c r="B38" s="20" t="n">
        <v>3</v>
      </c>
      <c r="C38" s="21" t="n">
        <f aca="false">'Reel Strips'!$H$17*('Reel Strips'!$I$17+'Reel Strips'!$I$18)*('Reel Strips'!$J$17+'Reel Strips'!$J$18)*(1-'Reel Strips'!$K$17-'Reel Strips'!$K$18)+'Reel Strips'!$H$18*'Reel Strips'!$I$17*('Reel Strips'!$J$17+'Reel Strips'!$J$18)*(1-'Reel Strips'!$K$17-'Reel Strips'!$K$18)+'Reel Strips'!$H$18*'Reel Strips'!$I$18*'Reel Strips'!$J$17*(1-'Reel Strips'!$K$17-'Reel Strips'!$K$18)</f>
        <v>0.00042724609375</v>
      </c>
      <c r="D38" s="12" t="n">
        <f aca="false">Paytable!G16</f>
        <v>6</v>
      </c>
      <c r="E38" s="22" t="n">
        <f aca="false">C38*D38*10</f>
        <v>0.025634765625</v>
      </c>
      <c r="F38" s="23" t="n">
        <v>0.00042724609375</v>
      </c>
    </row>
    <row r="39" customFormat="false" ht="15" hidden="false" customHeight="false" outlineLevel="0" collapsed="false">
      <c r="A39" s="6" t="s">
        <v>73</v>
      </c>
      <c r="B39" s="20" t="n">
        <v>4</v>
      </c>
      <c r="C39" s="21" t="n">
        <f aca="false">'Reel Strips'!$H$17*('Reel Strips'!$I$17+'Reel Strips'!$I$18)*('Reel Strips'!$J$17+'Reel Strips'!$J$18)*('Reel Strips'!$K$17+'Reel Strips'!$K$18)*(1-'Reel Strips'!$L$17-'Reel Strips'!$L$18)+'Reel Strips'!$H$18*'Reel Strips'!$I$17*('Reel Strips'!$J$17+'Reel Strips'!$J$18)*('Reel Strips'!$K$17+'Reel Strips'!$K$18)*(1-'Reel Strips'!$L$17-'Reel Strips'!$L$18)+'Reel Strips'!$H$18*'Reel Strips'!$I$18*'Reel Strips'!$J$17*('Reel Strips'!$K$17+'Reel Strips'!$K$18)*(1-'Reel Strips'!$L$17-'Reel Strips'!$L$18)+'Reel Strips'!$H$18*'Reel Strips'!$I$18*'Reel Strips'!$J$18*'Reel Strips'!$K$17*(1-'Reel Strips'!$L$17-'Reel Strips'!$L$18)</f>
        <v>5.53131103515625E-005</v>
      </c>
      <c r="D39" s="12" t="n">
        <f aca="false">Paytable!H16</f>
        <v>22.5</v>
      </c>
      <c r="E39" s="22" t="n">
        <f aca="false">C39*D39*10</f>
        <v>0.0124454498291016</v>
      </c>
      <c r="F39" s="23" t="n">
        <v>5.53131103515625E-005</v>
      </c>
    </row>
    <row r="40" customFormat="false" ht="15" hidden="false" customHeight="false" outlineLevel="0" collapsed="false">
      <c r="A40" s="6" t="s">
        <v>73</v>
      </c>
      <c r="B40" s="20" t="n">
        <v>5</v>
      </c>
      <c r="C40" s="21" t="n">
        <f aca="false">'Reel Strips'!$H$17*('Reel Strips'!$I$17+'Reel Strips'!$I$18)*('Reel Strips'!$J$17+'Reel Strips'!$J$18)*('Reel Strips'!$K$17+'Reel Strips'!$K$18)*('Reel Strips'!$L$17+'Reel Strips'!$L$18)+'Reel Strips'!$H$18*'Reel Strips'!$I$17*('Reel Strips'!$J$17+'Reel Strips'!$J$18)*('Reel Strips'!$K$17+'Reel Strips'!$K$18)*('Reel Strips'!$L$17+'Reel Strips'!$L$18)+'Reel Strips'!$H$18*'Reel Strips'!$I$18*'Reel Strips'!$J$17*('Reel Strips'!$K$17+'Reel Strips'!$K$18)*('Reel Strips'!$L$17+'Reel Strips'!$L$18)+'Reel Strips'!$H$18*'Reel Strips'!$I$18*'Reel Strips'!$J$18*'Reel Strips'!$K$17*('Reel Strips'!$L$17+'Reel Strips'!$L$18)+'Reel Strips'!$H$18*'Reel Strips'!$I$18*'Reel Strips'!$J$18*'Reel Strips'!$K$18*'Reel Strips'!$L$17+'Reel Strips'!$H$18*'Reel Strips'!$I$18*'Reel Strips'!$J$18*'Reel Strips'!$K$18*'Reel Strips'!$L$18</f>
        <v>5.7220458984375E-006</v>
      </c>
      <c r="D40" s="12" t="n">
        <f aca="false">Paytable!I16</f>
        <v>75</v>
      </c>
      <c r="E40" s="22" t="n">
        <f aca="false">C40*D40*10</f>
        <v>0.00429153442382813</v>
      </c>
      <c r="F40" s="23" t="n">
        <v>5.7220458984375E-006</v>
      </c>
    </row>
    <row r="41" customFormat="false" ht="15" hidden="false" customHeight="false" outlineLevel="0" collapsed="false">
      <c r="A41" s="4" t="s">
        <v>101</v>
      </c>
      <c r="E41" s="24" t="n">
        <f aca="false">SUM(E5:E40)</f>
        <v>0.541401922702789</v>
      </c>
    </row>
    <row r="42" customFormat="false" ht="15" hidden="false" customHeight="false" outlineLevel="0" collapsed="false">
      <c r="A42" s="6" t="s">
        <v>102</v>
      </c>
      <c r="C42" s="25" t="n">
        <f aca="false">SUMPRODUCT(ABS(C5:C40-F5:F40))</f>
        <v>0</v>
      </c>
    </row>
    <row r="44" customFormat="false" ht="15" hidden="false" customHeight="false" outlineLevel="0" collapsed="false">
      <c r="A44" s="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95</v>
      </c>
    </row>
    <row r="4" customFormat="false" ht="15" hidden="false" customHeight="false" outlineLevel="0" collapsed="false">
      <c r="A4" s="3" t="s">
        <v>39</v>
      </c>
      <c r="B4" s="3" t="s">
        <v>96</v>
      </c>
      <c r="C4" s="3" t="s">
        <v>97</v>
      </c>
      <c r="D4" s="3" t="s">
        <v>98</v>
      </c>
      <c r="E4" s="3" t="s">
        <v>99</v>
      </c>
      <c r="F4" s="3" t="s">
        <v>100</v>
      </c>
    </row>
    <row r="5" customFormat="false" ht="15" hidden="false" customHeight="false" outlineLevel="0" collapsed="false">
      <c r="A5" s="6" t="s">
        <v>48</v>
      </c>
      <c r="B5" s="20" t="n">
        <v>3</v>
      </c>
      <c r="C5" s="21" t="n">
        <f aca="false">'Reel Strips'!$H$25*('Reel Strips'!$I$25+'Reel Strips'!$I$37)*('Reel Strips'!$J$25+'Reel Strips'!$J$37)*(1-'Reel Strips'!$K$25-'Reel Strips'!$K$37)+'Reel Strips'!$H$37*'Reel Strips'!$I$25*('Reel Strips'!$J$25+'Reel Strips'!$J$37)*(1-'Reel Strips'!$K$25-'Reel Strips'!$K$37)+'Reel Strips'!$H$37*'Reel Strips'!$I$37*'Reel Strips'!$J$25*(1-'Reel Strips'!$K$25-'Reel Strips'!$K$37)</f>
        <v>0.00193119049072266</v>
      </c>
      <c r="D5" s="12" t="n">
        <f aca="false">Paytable!G5</f>
        <v>0.6</v>
      </c>
      <c r="E5" s="22" t="n">
        <f aca="false">C5*D5*10</f>
        <v>0.0115871429443359</v>
      </c>
      <c r="F5" s="23" t="n">
        <v>0.00193119049072266</v>
      </c>
    </row>
    <row r="6" customFormat="false" ht="15" hidden="false" customHeight="false" outlineLevel="0" collapsed="false">
      <c r="A6" s="6" t="s">
        <v>48</v>
      </c>
      <c r="B6" s="20" t="n">
        <v>4</v>
      </c>
      <c r="C6" s="21" t="n">
        <f aca="false">'Reel Strips'!$H$25*('Reel Strips'!$I$25+'Reel Strips'!$I$37)*('Reel Strips'!$J$25+'Reel Strips'!$J$37)*('Reel Strips'!$K$25+'Reel Strips'!$K$37)*(1-'Reel Strips'!$L$25-'Reel Strips'!$L$37)+'Reel Strips'!$H$37*'Reel Strips'!$I$25*('Reel Strips'!$J$25+'Reel Strips'!$J$37)*('Reel Strips'!$K$25+'Reel Strips'!$K$37)*(1-'Reel Strips'!$L$25-'Reel Strips'!$L$37)+'Reel Strips'!$H$37*'Reel Strips'!$I$37*'Reel Strips'!$J$25*('Reel Strips'!$K$25+'Reel Strips'!$K$37)*(1-'Reel Strips'!$L$25-'Reel Strips'!$L$37)+'Reel Strips'!$H$37*'Reel Strips'!$I$37*'Reel Strips'!$J$37*'Reel Strips'!$K$25*(1-'Reel Strips'!$L$25-'Reel Strips'!$L$37)</f>
        <v>0.000301748514175415</v>
      </c>
      <c r="D6" s="12" t="n">
        <f aca="false">Paytable!H5</f>
        <v>1.5</v>
      </c>
      <c r="E6" s="22" t="n">
        <f aca="false">C6*D6*10</f>
        <v>0.00452622771263123</v>
      </c>
      <c r="F6" s="23" t="n">
        <v>0.000301748514175415</v>
      </c>
    </row>
    <row r="7" customFormat="false" ht="15" hidden="false" customHeight="false" outlineLevel="0" collapsed="false">
      <c r="A7" s="6" t="s">
        <v>48</v>
      </c>
      <c r="B7" s="20" t="n">
        <v>5</v>
      </c>
      <c r="C7" s="21" t="n">
        <f aca="false">'Reel Strips'!$H$25*('Reel Strips'!$I$25+'Reel Strips'!$I$37)*('Reel Strips'!$J$25+'Reel Strips'!$J$37)*('Reel Strips'!$K$25+'Reel Strips'!$K$37)*('Reel Strips'!$L$25+'Reel Strips'!$L$37)+'Reel Strips'!$H$37*'Reel Strips'!$I$25*('Reel Strips'!$J$25+'Reel Strips'!$J$37)*('Reel Strips'!$K$25+'Reel Strips'!$K$37)*('Reel Strips'!$L$25+'Reel Strips'!$L$37)+'Reel Strips'!$H$37*'Reel Strips'!$I$37*'Reel Strips'!$J$25*('Reel Strips'!$K$25+'Reel Strips'!$K$37)*('Reel Strips'!$L$25+'Reel Strips'!$L$37)+'Reel Strips'!$H$37*'Reel Strips'!$I$37*'Reel Strips'!$J$37*'Reel Strips'!$K$25*('Reel Strips'!$L$25+'Reel Strips'!$L$37)+'Reel Strips'!$H$37*'Reel Strips'!$I$37*'Reel Strips'!$J$37*'Reel Strips'!$K$37*'Reel Strips'!$L$25</f>
        <v>5.58793544769287E-005</v>
      </c>
      <c r="D7" s="12" t="n">
        <f aca="false">Paytable!I5</f>
        <v>3</v>
      </c>
      <c r="E7" s="22" t="n">
        <f aca="false">C7*D7*10</f>
        <v>0.00167638063430786</v>
      </c>
      <c r="F7" s="23" t="n">
        <v>5.58793544769287E-005</v>
      </c>
    </row>
    <row r="8" customFormat="false" ht="15" hidden="false" customHeight="false" outlineLevel="0" collapsed="false">
      <c r="A8" s="6" t="s">
        <v>51</v>
      </c>
      <c r="B8" s="20" t="n">
        <v>3</v>
      </c>
      <c r="C8" s="21" t="n">
        <f aca="false">'Reel Strips'!$H$26*('Reel Strips'!$I$26+'Reel Strips'!$I$37)*('Reel Strips'!$J$26+'Reel Strips'!$J$37)*(1-'Reel Strips'!$K$26-'Reel Strips'!$K$37)+'Reel Strips'!$H$37*'Reel Strips'!$I$26*('Reel Strips'!$J$26+'Reel Strips'!$J$37)*(1-'Reel Strips'!$K$26-'Reel Strips'!$K$37)+'Reel Strips'!$H$37*'Reel Strips'!$I$37*'Reel Strips'!$J$26*(1-'Reel Strips'!$K$26-'Reel Strips'!$K$37)</f>
        <v>0.00193119049072266</v>
      </c>
      <c r="D8" s="12" t="n">
        <f aca="false">Paytable!G6</f>
        <v>0.6</v>
      </c>
      <c r="E8" s="22" t="n">
        <f aca="false">C8*D8*10</f>
        <v>0.0115871429443359</v>
      </c>
      <c r="F8" s="23" t="n">
        <v>0.00193119049072266</v>
      </c>
    </row>
    <row r="9" customFormat="false" ht="15" hidden="false" customHeight="false" outlineLevel="0" collapsed="false">
      <c r="A9" s="6" t="s">
        <v>51</v>
      </c>
      <c r="B9" s="20" t="n">
        <v>4</v>
      </c>
      <c r="C9" s="21" t="n">
        <f aca="false">'Reel Strips'!$H$26*('Reel Strips'!$I$26+'Reel Strips'!$I$37)*('Reel Strips'!$J$26+'Reel Strips'!$J$37)*('Reel Strips'!$K$26+'Reel Strips'!$K$37)*(1-'Reel Strips'!$L$26-'Reel Strips'!$L$37)+'Reel Strips'!$H$37*'Reel Strips'!$I$26*('Reel Strips'!$J$26+'Reel Strips'!$J$37)*('Reel Strips'!$K$26+'Reel Strips'!$K$37)*(1-'Reel Strips'!$L$26-'Reel Strips'!$L$37)+'Reel Strips'!$H$37*'Reel Strips'!$I$37*'Reel Strips'!$J$26*('Reel Strips'!$K$26+'Reel Strips'!$K$37)*(1-'Reel Strips'!$L$26-'Reel Strips'!$L$37)+'Reel Strips'!$H$37*'Reel Strips'!$I$37*'Reel Strips'!$J$37*'Reel Strips'!$K$26*(1-'Reel Strips'!$L$26-'Reel Strips'!$L$37)</f>
        <v>0.000301748514175415</v>
      </c>
      <c r="D9" s="12" t="n">
        <f aca="false">Paytable!H6</f>
        <v>1.5</v>
      </c>
      <c r="E9" s="22" t="n">
        <f aca="false">C9*D9*10</f>
        <v>0.00452622771263123</v>
      </c>
      <c r="F9" s="23" t="n">
        <v>0.000301748514175415</v>
      </c>
    </row>
    <row r="10" customFormat="false" ht="15" hidden="false" customHeight="false" outlineLevel="0" collapsed="false">
      <c r="A10" s="6" t="s">
        <v>51</v>
      </c>
      <c r="B10" s="20" t="n">
        <v>5</v>
      </c>
      <c r="C10" s="21" t="n">
        <f aca="false">'Reel Strips'!$H$26*('Reel Strips'!$I$26+'Reel Strips'!$I$37)*('Reel Strips'!$J$26+'Reel Strips'!$J$37)*('Reel Strips'!$K$26+'Reel Strips'!$K$37)*('Reel Strips'!$L$26+'Reel Strips'!$L$37)+'Reel Strips'!$H$37*'Reel Strips'!$I$26*('Reel Strips'!$J$26+'Reel Strips'!$J$37)*('Reel Strips'!$K$26+'Reel Strips'!$K$37)*('Reel Strips'!$L$26+'Reel Strips'!$L$37)+'Reel Strips'!$H$37*'Reel Strips'!$I$37*'Reel Strips'!$J$26*('Reel Strips'!$K$26+'Reel Strips'!$K$37)*('Reel Strips'!$L$26+'Reel Strips'!$L$37)+'Reel Strips'!$H$37*'Reel Strips'!$I$37*'Reel Strips'!$J$37*'Reel Strips'!$K$26*('Reel Strips'!$L$26+'Reel Strips'!$L$37)+'Reel Strips'!$H$37*'Reel Strips'!$I$37*'Reel Strips'!$J$37*'Reel Strips'!$K$37*'Reel Strips'!$L$26</f>
        <v>5.58793544769287E-005</v>
      </c>
      <c r="D10" s="12" t="n">
        <f aca="false">Paytable!I6</f>
        <v>3</v>
      </c>
      <c r="E10" s="22" t="n">
        <f aca="false">C10*D10*10</f>
        <v>0.00167638063430786</v>
      </c>
      <c r="F10" s="23" t="n">
        <v>5.58793544769287E-005</v>
      </c>
    </row>
    <row r="11" customFormat="false" ht="15" hidden="false" customHeight="false" outlineLevel="0" collapsed="false">
      <c r="A11" s="6" t="s">
        <v>53</v>
      </c>
      <c r="B11" s="20" t="n">
        <v>3</v>
      </c>
      <c r="C11" s="21" t="n">
        <f aca="false">'Reel Strips'!$H$27*('Reel Strips'!$I$27+'Reel Strips'!$I$37)*('Reel Strips'!$J$27+'Reel Strips'!$J$37)*(1-'Reel Strips'!$K$27-'Reel Strips'!$K$37)+'Reel Strips'!$H$37*'Reel Strips'!$I$27*('Reel Strips'!$J$27+'Reel Strips'!$J$37)*(1-'Reel Strips'!$K$27-'Reel Strips'!$K$37)+'Reel Strips'!$H$37*'Reel Strips'!$I$37*'Reel Strips'!$J$27*(1-'Reel Strips'!$K$27-'Reel Strips'!$K$37)</f>
        <v>0.003570556640625</v>
      </c>
      <c r="D11" s="12" t="n">
        <f aca="false">Paytable!G7</f>
        <v>0.9</v>
      </c>
      <c r="E11" s="22" t="n">
        <f aca="false">C11*D11*10</f>
        <v>0.032135009765625</v>
      </c>
      <c r="F11" s="23" t="n">
        <v>0.003570556640625</v>
      </c>
    </row>
    <row r="12" customFormat="false" ht="15" hidden="false" customHeight="false" outlineLevel="0" collapsed="false">
      <c r="A12" s="6" t="s">
        <v>53</v>
      </c>
      <c r="B12" s="20" t="n">
        <v>4</v>
      </c>
      <c r="C12" s="21" t="n">
        <f aca="false">'Reel Strips'!$H$27*('Reel Strips'!$I$27+'Reel Strips'!$I$37)*('Reel Strips'!$J$27+'Reel Strips'!$J$37)*('Reel Strips'!$K$27+'Reel Strips'!$K$37)*(1-'Reel Strips'!$L$27-'Reel Strips'!$L$37)+'Reel Strips'!$H$37*'Reel Strips'!$I$27*('Reel Strips'!$J$27+'Reel Strips'!$J$37)*('Reel Strips'!$K$27+'Reel Strips'!$K$37)*(1-'Reel Strips'!$L$27-'Reel Strips'!$L$37)+'Reel Strips'!$H$37*'Reel Strips'!$I$37*'Reel Strips'!$J$27*('Reel Strips'!$K$27+'Reel Strips'!$K$37)*(1-'Reel Strips'!$L$27-'Reel Strips'!$L$37)+'Reel Strips'!$H$37*'Reel Strips'!$I$37*'Reel Strips'!$J$37*'Reel Strips'!$K$27*(1-'Reel Strips'!$L$27-'Reel Strips'!$L$37)</f>
        <v>0.000695228576660156</v>
      </c>
      <c r="D12" s="12" t="n">
        <f aca="false">Paytable!H7</f>
        <v>2.4</v>
      </c>
      <c r="E12" s="22" t="n">
        <f aca="false">C12*D12*10</f>
        <v>0.0166854858398438</v>
      </c>
      <c r="F12" s="23" t="n">
        <v>0.000695228576660156</v>
      </c>
    </row>
    <row r="13" customFormat="false" ht="15" hidden="false" customHeight="false" outlineLevel="0" collapsed="false">
      <c r="A13" s="6" t="s">
        <v>53</v>
      </c>
      <c r="B13" s="20" t="n">
        <v>5</v>
      </c>
      <c r="C13" s="21" t="n">
        <f aca="false">'Reel Strips'!$H$27*('Reel Strips'!$I$27+'Reel Strips'!$I$37)*('Reel Strips'!$J$27+'Reel Strips'!$J$37)*('Reel Strips'!$K$27+'Reel Strips'!$K$37)*('Reel Strips'!$L$27+'Reel Strips'!$L$37)+'Reel Strips'!$H$37*'Reel Strips'!$I$27*('Reel Strips'!$J$27+'Reel Strips'!$J$37)*('Reel Strips'!$K$27+'Reel Strips'!$K$37)*('Reel Strips'!$L$27+'Reel Strips'!$L$37)+'Reel Strips'!$H$37*'Reel Strips'!$I$37*'Reel Strips'!$J$27*('Reel Strips'!$K$27+'Reel Strips'!$K$37)*('Reel Strips'!$L$27+'Reel Strips'!$L$37)+'Reel Strips'!$H$37*'Reel Strips'!$I$37*'Reel Strips'!$J$37*'Reel Strips'!$K$27*('Reel Strips'!$L$27+'Reel Strips'!$L$37)+'Reel Strips'!$H$37*'Reel Strips'!$I$37*'Reel Strips'!$J$37*'Reel Strips'!$K$37*'Reel Strips'!$L$27</f>
        <v>0.000128746032714844</v>
      </c>
      <c r="D13" s="12" t="n">
        <f aca="false">Paytable!I7</f>
        <v>4.5</v>
      </c>
      <c r="E13" s="22" t="n">
        <f aca="false">C13*D13*10</f>
        <v>0.00579357147216797</v>
      </c>
      <c r="F13" s="23" t="n">
        <v>0.000128746032714844</v>
      </c>
    </row>
    <row r="14" customFormat="false" ht="15" hidden="false" customHeight="false" outlineLevel="0" collapsed="false">
      <c r="A14" s="6" t="s">
        <v>55</v>
      </c>
      <c r="B14" s="20" t="n">
        <v>3</v>
      </c>
      <c r="C14" s="21" t="n">
        <f aca="false">'Reel Strips'!$H$28*('Reel Strips'!$I$28+'Reel Strips'!$I$37)*('Reel Strips'!$J$28+'Reel Strips'!$J$37)*(1-'Reel Strips'!$K$28-'Reel Strips'!$K$37)+'Reel Strips'!$H$37*'Reel Strips'!$I$28*('Reel Strips'!$J$28+'Reel Strips'!$J$37)*(1-'Reel Strips'!$K$28-'Reel Strips'!$K$37)+'Reel Strips'!$H$37*'Reel Strips'!$I$37*'Reel Strips'!$J$28*(1-'Reel Strips'!$K$28-'Reel Strips'!$K$37)</f>
        <v>0.003570556640625</v>
      </c>
      <c r="D14" s="12" t="n">
        <f aca="false">Paytable!G8</f>
        <v>0.9</v>
      </c>
      <c r="E14" s="22" t="n">
        <f aca="false">C14*D14*10</f>
        <v>0.032135009765625</v>
      </c>
      <c r="F14" s="23" t="n">
        <v>0.003570556640625</v>
      </c>
    </row>
    <row r="15" customFormat="false" ht="15" hidden="false" customHeight="false" outlineLevel="0" collapsed="false">
      <c r="A15" s="6" t="s">
        <v>55</v>
      </c>
      <c r="B15" s="20" t="n">
        <v>4</v>
      </c>
      <c r="C15" s="21" t="n">
        <f aca="false">'Reel Strips'!$H$28*('Reel Strips'!$I$28+'Reel Strips'!$I$37)*('Reel Strips'!$J$28+'Reel Strips'!$J$37)*('Reel Strips'!$K$28+'Reel Strips'!$K$37)*(1-'Reel Strips'!$L$28-'Reel Strips'!$L$37)+'Reel Strips'!$H$37*'Reel Strips'!$I$28*('Reel Strips'!$J$28+'Reel Strips'!$J$37)*('Reel Strips'!$K$28+'Reel Strips'!$K$37)*(1-'Reel Strips'!$L$28-'Reel Strips'!$L$37)+'Reel Strips'!$H$37*'Reel Strips'!$I$37*'Reel Strips'!$J$28*('Reel Strips'!$K$28+'Reel Strips'!$K$37)*(1-'Reel Strips'!$L$28-'Reel Strips'!$L$37)+'Reel Strips'!$H$37*'Reel Strips'!$I$37*'Reel Strips'!$J$37*'Reel Strips'!$K$28*(1-'Reel Strips'!$L$28-'Reel Strips'!$L$37)</f>
        <v>0.000695228576660156</v>
      </c>
      <c r="D15" s="12" t="n">
        <f aca="false">Paytable!H8</f>
        <v>2.4</v>
      </c>
      <c r="E15" s="22" t="n">
        <f aca="false">C15*D15*10</f>
        <v>0.0166854858398438</v>
      </c>
      <c r="F15" s="23" t="n">
        <v>0.000695228576660156</v>
      </c>
    </row>
    <row r="16" customFormat="false" ht="15" hidden="false" customHeight="false" outlineLevel="0" collapsed="false">
      <c r="A16" s="6" t="s">
        <v>55</v>
      </c>
      <c r="B16" s="20" t="n">
        <v>5</v>
      </c>
      <c r="C16" s="21" t="n">
        <f aca="false">'Reel Strips'!$H$28*('Reel Strips'!$I$28+'Reel Strips'!$I$37)*('Reel Strips'!$J$28+'Reel Strips'!$J$37)*('Reel Strips'!$K$28+'Reel Strips'!$K$37)*('Reel Strips'!$L$28+'Reel Strips'!$L$37)+'Reel Strips'!$H$37*'Reel Strips'!$I$28*('Reel Strips'!$J$28+'Reel Strips'!$J$37)*('Reel Strips'!$K$28+'Reel Strips'!$K$37)*('Reel Strips'!$L$28+'Reel Strips'!$L$37)+'Reel Strips'!$H$37*'Reel Strips'!$I$37*'Reel Strips'!$J$28*('Reel Strips'!$K$28+'Reel Strips'!$K$37)*('Reel Strips'!$L$28+'Reel Strips'!$L$37)+'Reel Strips'!$H$37*'Reel Strips'!$I$37*'Reel Strips'!$J$37*'Reel Strips'!$K$28*('Reel Strips'!$L$28+'Reel Strips'!$L$37)+'Reel Strips'!$H$37*'Reel Strips'!$I$37*'Reel Strips'!$J$37*'Reel Strips'!$K$37*'Reel Strips'!$L$28</f>
        <v>0.000128746032714844</v>
      </c>
      <c r="D16" s="12" t="n">
        <f aca="false">Paytable!I8</f>
        <v>4.5</v>
      </c>
      <c r="E16" s="22" t="n">
        <f aca="false">C16*D16*10</f>
        <v>0.00579357147216797</v>
      </c>
      <c r="F16" s="23" t="n">
        <v>0.000128746032714844</v>
      </c>
    </row>
    <row r="17" customFormat="false" ht="15" hidden="false" customHeight="false" outlineLevel="0" collapsed="false">
      <c r="A17" s="6" t="s">
        <v>57</v>
      </c>
      <c r="B17" s="20" t="n">
        <v>3</v>
      </c>
      <c r="C17" s="21" t="n">
        <f aca="false">'Reel Strips'!$H$29*('Reel Strips'!$I$29+'Reel Strips'!$I$37)*('Reel Strips'!$J$29+'Reel Strips'!$J$37)*(1-'Reel Strips'!$K$29-'Reel Strips'!$K$37)+'Reel Strips'!$H$37*'Reel Strips'!$I$29*('Reel Strips'!$J$29+'Reel Strips'!$J$37)*(1-'Reel Strips'!$K$29-'Reel Strips'!$K$37)+'Reel Strips'!$H$37*'Reel Strips'!$I$37*'Reel Strips'!$J$29*(1-'Reel Strips'!$K$29-'Reel Strips'!$K$37)</f>
        <v>0.00267791748046875</v>
      </c>
      <c r="D17" s="12" t="n">
        <f aca="false">Paytable!G9</f>
        <v>1.2</v>
      </c>
      <c r="E17" s="22" t="n">
        <f aca="false">C17*D17*10</f>
        <v>0.032135009765625</v>
      </c>
      <c r="F17" s="23" t="n">
        <v>0.00267791748046875</v>
      </c>
    </row>
    <row r="18" customFormat="false" ht="15" hidden="false" customHeight="false" outlineLevel="0" collapsed="false">
      <c r="A18" s="6" t="s">
        <v>57</v>
      </c>
      <c r="B18" s="20" t="n">
        <v>4</v>
      </c>
      <c r="C18" s="21" t="n">
        <f aca="false">'Reel Strips'!$H$29*('Reel Strips'!$I$29+'Reel Strips'!$I$37)*('Reel Strips'!$J$29+'Reel Strips'!$J$37)*('Reel Strips'!$K$29+'Reel Strips'!$K$37)*(1-'Reel Strips'!$L$29-'Reel Strips'!$L$37)+'Reel Strips'!$H$37*'Reel Strips'!$I$29*('Reel Strips'!$J$29+'Reel Strips'!$J$37)*('Reel Strips'!$K$29+'Reel Strips'!$K$37)*(1-'Reel Strips'!$L$29-'Reel Strips'!$L$37)+'Reel Strips'!$H$37*'Reel Strips'!$I$37*'Reel Strips'!$J$29*('Reel Strips'!$K$29+'Reel Strips'!$K$37)*(1-'Reel Strips'!$L$29-'Reel Strips'!$L$37)+'Reel Strips'!$H$37*'Reel Strips'!$I$37*'Reel Strips'!$J$37*'Reel Strips'!$K$29*(1-'Reel Strips'!$L$29-'Reel Strips'!$L$37)</f>
        <v>0.000521421432495117</v>
      </c>
      <c r="D18" s="12" t="n">
        <f aca="false">Paytable!H9</f>
        <v>3</v>
      </c>
      <c r="E18" s="22" t="n">
        <f aca="false">C18*D18*10</f>
        <v>0.0156426429748535</v>
      </c>
      <c r="F18" s="23" t="n">
        <v>0.000521421432495117</v>
      </c>
    </row>
    <row r="19" customFormat="false" ht="15" hidden="false" customHeight="false" outlineLevel="0" collapsed="false">
      <c r="A19" s="6" t="s">
        <v>57</v>
      </c>
      <c r="B19" s="20" t="n">
        <v>5</v>
      </c>
      <c r="C19" s="21" t="n">
        <f aca="false">'Reel Strips'!$H$29*('Reel Strips'!$I$29+'Reel Strips'!$I$37)*('Reel Strips'!$J$29+'Reel Strips'!$J$37)*('Reel Strips'!$K$29+'Reel Strips'!$K$37)*('Reel Strips'!$L$29+'Reel Strips'!$L$37)+'Reel Strips'!$H$37*'Reel Strips'!$I$29*('Reel Strips'!$J$29+'Reel Strips'!$J$37)*('Reel Strips'!$K$29+'Reel Strips'!$K$37)*('Reel Strips'!$L$29+'Reel Strips'!$L$37)+'Reel Strips'!$H$37*'Reel Strips'!$I$37*'Reel Strips'!$J$29*('Reel Strips'!$K$29+'Reel Strips'!$K$37)*('Reel Strips'!$L$29+'Reel Strips'!$L$37)+'Reel Strips'!$H$37*'Reel Strips'!$I$37*'Reel Strips'!$J$37*'Reel Strips'!$K$29*('Reel Strips'!$L$29+'Reel Strips'!$L$37)+'Reel Strips'!$H$37*'Reel Strips'!$I$37*'Reel Strips'!$J$37*'Reel Strips'!$K$37*'Reel Strips'!$L$29</f>
        <v>9.65595245361328E-005</v>
      </c>
      <c r="D19" s="12" t="n">
        <f aca="false">Paytable!I9</f>
        <v>7.5</v>
      </c>
      <c r="E19" s="22" t="n">
        <f aca="false">C19*D19*10</f>
        <v>0.00724196434020996</v>
      </c>
      <c r="F19" s="23" t="n">
        <v>9.65595245361328E-005</v>
      </c>
    </row>
    <row r="20" customFormat="false" ht="15" hidden="false" customHeight="false" outlineLevel="0" collapsed="false">
      <c r="A20" s="6" t="s">
        <v>60</v>
      </c>
      <c r="B20" s="20" t="n">
        <v>3</v>
      </c>
      <c r="C20" s="21" t="n">
        <f aca="false">'Reel Strips'!$H$30*('Reel Strips'!$I$30+'Reel Strips'!$I$37)*('Reel Strips'!$J$30+'Reel Strips'!$J$37)*(1-'Reel Strips'!$K$30-'Reel Strips'!$K$37)+'Reel Strips'!$H$37*'Reel Strips'!$I$30*('Reel Strips'!$J$30+'Reel Strips'!$J$37)*(1-'Reel Strips'!$K$30-'Reel Strips'!$K$37)+'Reel Strips'!$H$37*'Reel Strips'!$I$37*'Reel Strips'!$J$30*(1-'Reel Strips'!$K$30-'Reel Strips'!$K$37)</f>
        <v>0.00193119049072266</v>
      </c>
      <c r="D20" s="12" t="n">
        <f aca="false">Paytable!G10</f>
        <v>1.5</v>
      </c>
      <c r="E20" s="22" t="n">
        <f aca="false">C20*D20*10</f>
        <v>0.0289678573608398</v>
      </c>
      <c r="F20" s="23" t="n">
        <v>0.00193119049072266</v>
      </c>
    </row>
    <row r="21" customFormat="false" ht="15" hidden="false" customHeight="false" outlineLevel="0" collapsed="false">
      <c r="A21" s="6" t="s">
        <v>60</v>
      </c>
      <c r="B21" s="20" t="n">
        <v>4</v>
      </c>
      <c r="C21" s="21" t="n">
        <f aca="false">'Reel Strips'!$H$30*('Reel Strips'!$I$30+'Reel Strips'!$I$37)*('Reel Strips'!$J$30+'Reel Strips'!$J$37)*('Reel Strips'!$K$30+'Reel Strips'!$K$37)*(1-'Reel Strips'!$L$30-'Reel Strips'!$L$37)+'Reel Strips'!$H$37*'Reel Strips'!$I$30*('Reel Strips'!$J$30+'Reel Strips'!$J$37)*('Reel Strips'!$K$30+'Reel Strips'!$K$37)*(1-'Reel Strips'!$L$30-'Reel Strips'!$L$37)+'Reel Strips'!$H$37*'Reel Strips'!$I$37*'Reel Strips'!$J$30*('Reel Strips'!$K$30+'Reel Strips'!$K$37)*(1-'Reel Strips'!$L$30-'Reel Strips'!$L$37)+'Reel Strips'!$H$37*'Reel Strips'!$I$37*'Reel Strips'!$J$37*'Reel Strips'!$K$30*(1-'Reel Strips'!$L$30-'Reel Strips'!$L$37)</f>
        <v>0.000301748514175415</v>
      </c>
      <c r="D21" s="12" t="n">
        <f aca="false">Paytable!H10</f>
        <v>3.6</v>
      </c>
      <c r="E21" s="22" t="n">
        <f aca="false">C21*D21*10</f>
        <v>0.0108629465103149</v>
      </c>
      <c r="F21" s="23" t="n">
        <v>0.000301748514175415</v>
      </c>
    </row>
    <row r="22" customFormat="false" ht="15" hidden="false" customHeight="false" outlineLevel="0" collapsed="false">
      <c r="A22" s="6" t="s">
        <v>60</v>
      </c>
      <c r="B22" s="20" t="n">
        <v>5</v>
      </c>
      <c r="C22" s="21" t="n">
        <f aca="false">'Reel Strips'!$H$30*('Reel Strips'!$I$30+'Reel Strips'!$I$37)*('Reel Strips'!$J$30+'Reel Strips'!$J$37)*('Reel Strips'!$K$30+'Reel Strips'!$K$37)*('Reel Strips'!$L$30+'Reel Strips'!$L$37)+'Reel Strips'!$H$37*'Reel Strips'!$I$30*('Reel Strips'!$J$30+'Reel Strips'!$J$37)*('Reel Strips'!$K$30+'Reel Strips'!$K$37)*('Reel Strips'!$L$30+'Reel Strips'!$L$37)+'Reel Strips'!$H$37*'Reel Strips'!$I$37*'Reel Strips'!$J$30*('Reel Strips'!$K$30+'Reel Strips'!$K$37)*('Reel Strips'!$L$30+'Reel Strips'!$L$37)+'Reel Strips'!$H$37*'Reel Strips'!$I$37*'Reel Strips'!$J$37*'Reel Strips'!$K$30*('Reel Strips'!$L$30+'Reel Strips'!$L$37)+'Reel Strips'!$H$37*'Reel Strips'!$I$37*'Reel Strips'!$J$37*'Reel Strips'!$K$37*'Reel Strips'!$L$30</f>
        <v>5.58793544769287E-005</v>
      </c>
      <c r="D22" s="12" t="n">
        <f aca="false">Paytable!I10</f>
        <v>9</v>
      </c>
      <c r="E22" s="22" t="n">
        <f aca="false">C22*D22*10</f>
        <v>0.00502914190292358</v>
      </c>
      <c r="F22" s="23" t="n">
        <v>5.58793544769287E-005</v>
      </c>
    </row>
    <row r="23" customFormat="false" ht="15" hidden="false" customHeight="false" outlineLevel="0" collapsed="false">
      <c r="A23" s="6" t="s">
        <v>62</v>
      </c>
      <c r="B23" s="20" t="n">
        <v>3</v>
      </c>
      <c r="C23" s="21" t="n">
        <f aca="false">'Reel Strips'!$H$31*('Reel Strips'!$I$31+'Reel Strips'!$I$37)*('Reel Strips'!$J$31+'Reel Strips'!$J$37)*(1-'Reel Strips'!$K$31-'Reel Strips'!$K$37)+'Reel Strips'!$H$37*'Reel Strips'!$I$31*('Reel Strips'!$J$31+'Reel Strips'!$J$37)*(1-'Reel Strips'!$K$31-'Reel Strips'!$K$37)+'Reel Strips'!$H$37*'Reel Strips'!$I$37*'Reel Strips'!$J$31*(1-'Reel Strips'!$K$31-'Reel Strips'!$K$37)</f>
        <v>0.00128746032714844</v>
      </c>
      <c r="D23" s="12" t="n">
        <f aca="false">Paytable!G11</f>
        <v>1.8</v>
      </c>
      <c r="E23" s="22" t="n">
        <f aca="false">C23*D23*10</f>
        <v>0.0231742858886719</v>
      </c>
      <c r="F23" s="23" t="n">
        <v>0.00128746032714844</v>
      </c>
    </row>
    <row r="24" customFormat="false" ht="15" hidden="false" customHeight="false" outlineLevel="0" collapsed="false">
      <c r="A24" s="6" t="s">
        <v>62</v>
      </c>
      <c r="B24" s="20" t="n">
        <v>4</v>
      </c>
      <c r="C24" s="21" t="n">
        <f aca="false">'Reel Strips'!$H$31*('Reel Strips'!$I$31+'Reel Strips'!$I$37)*('Reel Strips'!$J$31+'Reel Strips'!$J$37)*('Reel Strips'!$K$31+'Reel Strips'!$K$37)*(1-'Reel Strips'!$L$31-'Reel Strips'!$L$37)+'Reel Strips'!$H$37*'Reel Strips'!$I$31*('Reel Strips'!$J$31+'Reel Strips'!$J$37)*('Reel Strips'!$K$31+'Reel Strips'!$K$37)*(1-'Reel Strips'!$L$31-'Reel Strips'!$L$37)+'Reel Strips'!$H$37*'Reel Strips'!$I$37*'Reel Strips'!$J$31*('Reel Strips'!$K$31+'Reel Strips'!$K$37)*(1-'Reel Strips'!$L$31-'Reel Strips'!$L$37)+'Reel Strips'!$H$37*'Reel Strips'!$I$37*'Reel Strips'!$J$37*'Reel Strips'!$K$31*(1-'Reel Strips'!$L$31-'Reel Strips'!$L$37)</f>
        <v>0.000208616256713867</v>
      </c>
      <c r="D24" s="12" t="n">
        <f aca="false">Paytable!H11</f>
        <v>4.5</v>
      </c>
      <c r="E24" s="22" t="n">
        <f aca="false">C24*D24*10</f>
        <v>0.00938773155212402</v>
      </c>
      <c r="F24" s="23" t="n">
        <v>0.000208616256713867</v>
      </c>
    </row>
    <row r="25" customFormat="false" ht="15" hidden="false" customHeight="false" outlineLevel="0" collapsed="false">
      <c r="A25" s="6" t="s">
        <v>62</v>
      </c>
      <c r="B25" s="20" t="n">
        <v>5</v>
      </c>
      <c r="C25" s="21" t="n">
        <f aca="false">'Reel Strips'!$H$31*('Reel Strips'!$I$31+'Reel Strips'!$I$37)*('Reel Strips'!$J$31+'Reel Strips'!$J$37)*('Reel Strips'!$K$31+'Reel Strips'!$K$37)*('Reel Strips'!$L$31+'Reel Strips'!$L$37)+'Reel Strips'!$H$37*'Reel Strips'!$I$31*('Reel Strips'!$J$31+'Reel Strips'!$J$37)*('Reel Strips'!$K$31+'Reel Strips'!$K$37)*('Reel Strips'!$L$31+'Reel Strips'!$L$37)+'Reel Strips'!$H$37*'Reel Strips'!$I$37*'Reel Strips'!$J$31*('Reel Strips'!$K$31+'Reel Strips'!$K$37)*('Reel Strips'!$L$31+'Reel Strips'!$L$37)+'Reel Strips'!$H$37*'Reel Strips'!$I$37*'Reel Strips'!$J$37*'Reel Strips'!$K$31*('Reel Strips'!$L$31+'Reel Strips'!$L$37)+'Reel Strips'!$H$37*'Reel Strips'!$I$37*'Reel Strips'!$J$37*'Reel Strips'!$K$37*'Reel Strips'!$L$31</f>
        <v>2.98023223876953E-005</v>
      </c>
      <c r="D25" s="12" t="n">
        <f aca="false">Paytable!I11</f>
        <v>12</v>
      </c>
      <c r="E25" s="22" t="n">
        <f aca="false">C25*D25*10</f>
        <v>0.00357627868652344</v>
      </c>
      <c r="F25" s="23" t="n">
        <v>2.98023223876953E-005</v>
      </c>
    </row>
    <row r="26" customFormat="false" ht="15" hidden="false" customHeight="false" outlineLevel="0" collapsed="false">
      <c r="A26" s="6" t="s">
        <v>64</v>
      </c>
      <c r="B26" s="20" t="n">
        <v>3</v>
      </c>
      <c r="C26" s="21" t="n">
        <f aca="false">'Reel Strips'!$H$32*('Reel Strips'!$I$32+'Reel Strips'!$I$37)*('Reel Strips'!$J$32+'Reel Strips'!$J$37)*(1-'Reel Strips'!$K$32-'Reel Strips'!$K$37)+'Reel Strips'!$H$37*'Reel Strips'!$I$32*('Reel Strips'!$J$32+'Reel Strips'!$J$37)*(1-'Reel Strips'!$K$32-'Reel Strips'!$K$37)+'Reel Strips'!$H$37*'Reel Strips'!$I$37*'Reel Strips'!$J$32*(1-'Reel Strips'!$K$32-'Reel Strips'!$K$37)</f>
        <v>0.00128746032714844</v>
      </c>
      <c r="D26" s="12" t="n">
        <f aca="false">Paytable!G12</f>
        <v>2.4</v>
      </c>
      <c r="E26" s="22" t="n">
        <f aca="false">C26*D26*10</f>
        <v>0.0308990478515625</v>
      </c>
      <c r="F26" s="23" t="n">
        <v>0.00128746032714844</v>
      </c>
    </row>
    <row r="27" customFormat="false" ht="15" hidden="false" customHeight="false" outlineLevel="0" collapsed="false">
      <c r="A27" s="6" t="s">
        <v>64</v>
      </c>
      <c r="B27" s="20" t="n">
        <v>4</v>
      </c>
      <c r="C27" s="21" t="n">
        <f aca="false">'Reel Strips'!$H$32*('Reel Strips'!$I$32+'Reel Strips'!$I$37)*('Reel Strips'!$J$32+'Reel Strips'!$J$37)*('Reel Strips'!$K$32+'Reel Strips'!$K$37)*(1-'Reel Strips'!$L$32-'Reel Strips'!$L$37)+'Reel Strips'!$H$37*'Reel Strips'!$I$32*('Reel Strips'!$J$32+'Reel Strips'!$J$37)*('Reel Strips'!$K$32+'Reel Strips'!$K$37)*(1-'Reel Strips'!$L$32-'Reel Strips'!$L$37)+'Reel Strips'!$H$37*'Reel Strips'!$I$37*'Reel Strips'!$J$32*('Reel Strips'!$K$32+'Reel Strips'!$K$37)*(1-'Reel Strips'!$L$32-'Reel Strips'!$L$37)+'Reel Strips'!$H$37*'Reel Strips'!$I$37*'Reel Strips'!$J$37*'Reel Strips'!$K$32*(1-'Reel Strips'!$L$32-'Reel Strips'!$L$37)</f>
        <v>0.000208616256713867</v>
      </c>
      <c r="D27" s="12" t="n">
        <f aca="false">Paytable!H12</f>
        <v>6</v>
      </c>
      <c r="E27" s="22" t="n">
        <f aca="false">C27*D27*10</f>
        <v>0.012516975402832</v>
      </c>
      <c r="F27" s="23" t="n">
        <v>0.000208616256713867</v>
      </c>
    </row>
    <row r="28" customFormat="false" ht="15" hidden="false" customHeight="false" outlineLevel="0" collapsed="false">
      <c r="A28" s="6" t="s">
        <v>64</v>
      </c>
      <c r="B28" s="20" t="n">
        <v>5</v>
      </c>
      <c r="C28" s="21" t="n">
        <f aca="false">'Reel Strips'!$H$32*('Reel Strips'!$I$32+'Reel Strips'!$I$37)*('Reel Strips'!$J$32+'Reel Strips'!$J$37)*('Reel Strips'!$K$32+'Reel Strips'!$K$37)*('Reel Strips'!$L$32+'Reel Strips'!$L$37)+'Reel Strips'!$H$37*'Reel Strips'!$I$32*('Reel Strips'!$J$32+'Reel Strips'!$J$37)*('Reel Strips'!$K$32+'Reel Strips'!$K$37)*('Reel Strips'!$L$32+'Reel Strips'!$L$37)+'Reel Strips'!$H$37*'Reel Strips'!$I$37*'Reel Strips'!$J$32*('Reel Strips'!$K$32+'Reel Strips'!$K$37)*('Reel Strips'!$L$32+'Reel Strips'!$L$37)+'Reel Strips'!$H$37*'Reel Strips'!$I$37*'Reel Strips'!$J$37*'Reel Strips'!$K$32*('Reel Strips'!$L$32+'Reel Strips'!$L$37)+'Reel Strips'!$H$37*'Reel Strips'!$I$37*'Reel Strips'!$J$37*'Reel Strips'!$K$37*'Reel Strips'!$L$32</f>
        <v>2.98023223876953E-005</v>
      </c>
      <c r="D28" s="12" t="n">
        <f aca="false">Paytable!I12</f>
        <v>15</v>
      </c>
      <c r="E28" s="22" t="n">
        <f aca="false">C28*D28*10</f>
        <v>0.0044703483581543</v>
      </c>
      <c r="F28" s="23" t="n">
        <v>2.98023223876953E-005</v>
      </c>
    </row>
    <row r="29" customFormat="false" ht="15" hidden="false" customHeight="false" outlineLevel="0" collapsed="false">
      <c r="A29" s="6" t="s">
        <v>66</v>
      </c>
      <c r="B29" s="20" t="n">
        <v>3</v>
      </c>
      <c r="C29" s="21" t="n">
        <f aca="false">'Reel Strips'!$H$33*('Reel Strips'!$I$33+'Reel Strips'!$I$37)*('Reel Strips'!$J$33+'Reel Strips'!$J$37)*(1-'Reel Strips'!$K$33-'Reel Strips'!$K$37)+'Reel Strips'!$H$37*'Reel Strips'!$I$33*('Reel Strips'!$J$33+'Reel Strips'!$J$37)*(1-'Reel Strips'!$K$33-'Reel Strips'!$K$37)+'Reel Strips'!$H$37*'Reel Strips'!$I$37*'Reel Strips'!$J$33*(1-'Reel Strips'!$K$33-'Reel Strips'!$K$37)</f>
        <v>0.00042724609375</v>
      </c>
      <c r="D29" s="12" t="n">
        <f aca="false">Paytable!G13</f>
        <v>3</v>
      </c>
      <c r="E29" s="22" t="n">
        <f aca="false">C29*D29*10</f>
        <v>0.0128173828125</v>
      </c>
      <c r="F29" s="23" t="n">
        <v>0.00042724609375</v>
      </c>
    </row>
    <row r="30" customFormat="false" ht="15" hidden="false" customHeight="false" outlineLevel="0" collapsed="false">
      <c r="A30" s="6" t="s">
        <v>66</v>
      </c>
      <c r="B30" s="20" t="n">
        <v>4</v>
      </c>
      <c r="C30" s="21" t="n">
        <f aca="false">'Reel Strips'!$H$33*('Reel Strips'!$I$33+'Reel Strips'!$I$37)*('Reel Strips'!$J$33+'Reel Strips'!$J$37)*('Reel Strips'!$K$33+'Reel Strips'!$K$37)*(1-'Reel Strips'!$L$33-'Reel Strips'!$L$37)+'Reel Strips'!$H$37*'Reel Strips'!$I$33*('Reel Strips'!$J$33+'Reel Strips'!$J$37)*('Reel Strips'!$K$33+'Reel Strips'!$K$37)*(1-'Reel Strips'!$L$33-'Reel Strips'!$L$37)+'Reel Strips'!$H$37*'Reel Strips'!$I$37*'Reel Strips'!$J$33*('Reel Strips'!$K$33+'Reel Strips'!$K$37)*(1-'Reel Strips'!$L$33-'Reel Strips'!$L$37)+'Reel Strips'!$H$37*'Reel Strips'!$I$37*'Reel Strips'!$J$37*'Reel Strips'!$K$33*(1-'Reel Strips'!$L$33-'Reel Strips'!$L$37)</f>
        <v>5.53131103515625E-005</v>
      </c>
      <c r="D30" s="12" t="n">
        <f aca="false">Paytable!H13</f>
        <v>7.5</v>
      </c>
      <c r="E30" s="22" t="n">
        <f aca="false">C30*D30*10</f>
        <v>0.00414848327636719</v>
      </c>
      <c r="F30" s="23" t="n">
        <v>5.53131103515625E-005</v>
      </c>
    </row>
    <row r="31" customFormat="false" ht="15" hidden="false" customHeight="false" outlineLevel="0" collapsed="false">
      <c r="A31" s="6" t="s">
        <v>66</v>
      </c>
      <c r="B31" s="20" t="n">
        <v>5</v>
      </c>
      <c r="C31" s="21" t="n">
        <f aca="false">'Reel Strips'!$H$33*('Reel Strips'!$I$33+'Reel Strips'!$I$37)*('Reel Strips'!$J$33+'Reel Strips'!$J$37)*('Reel Strips'!$K$33+'Reel Strips'!$K$37)*('Reel Strips'!$L$33+'Reel Strips'!$L$37)+'Reel Strips'!$H$37*'Reel Strips'!$I$33*('Reel Strips'!$J$33+'Reel Strips'!$J$37)*('Reel Strips'!$K$33+'Reel Strips'!$K$37)*('Reel Strips'!$L$33+'Reel Strips'!$L$37)+'Reel Strips'!$H$37*'Reel Strips'!$I$37*'Reel Strips'!$J$33*('Reel Strips'!$K$33+'Reel Strips'!$K$37)*('Reel Strips'!$L$33+'Reel Strips'!$L$37)+'Reel Strips'!$H$37*'Reel Strips'!$I$37*'Reel Strips'!$J$37*'Reel Strips'!$K$33*('Reel Strips'!$L$33+'Reel Strips'!$L$37)+'Reel Strips'!$H$37*'Reel Strips'!$I$37*'Reel Strips'!$J$37*'Reel Strips'!$K$37*'Reel Strips'!$L$33</f>
        <v>5.7220458984375E-006</v>
      </c>
      <c r="D31" s="12" t="n">
        <f aca="false">Paytable!I13</f>
        <v>18</v>
      </c>
      <c r="E31" s="22" t="n">
        <f aca="false">C31*D31*10</f>
        <v>0.00102996826171875</v>
      </c>
      <c r="F31" s="23" t="n">
        <v>5.7220458984375E-006</v>
      </c>
    </row>
    <row r="32" customFormat="false" ht="15" hidden="false" customHeight="false" outlineLevel="0" collapsed="false">
      <c r="A32" s="6" t="s">
        <v>69</v>
      </c>
      <c r="B32" s="20" t="n">
        <v>3</v>
      </c>
      <c r="C32" s="21" t="n">
        <f aca="false">'Reel Strips'!$H$34*('Reel Strips'!$I$34+'Reel Strips'!$I$37)*('Reel Strips'!$J$34+'Reel Strips'!$J$37)*(1-'Reel Strips'!$K$34-'Reel Strips'!$K$37)+'Reel Strips'!$H$37*'Reel Strips'!$I$34*('Reel Strips'!$J$34+'Reel Strips'!$J$37)*(1-'Reel Strips'!$K$34-'Reel Strips'!$K$37)+'Reel Strips'!$H$37*'Reel Strips'!$I$37*'Reel Strips'!$J$34*(1-'Reel Strips'!$K$34-'Reel Strips'!$K$37)</f>
        <v>0.00042724609375</v>
      </c>
      <c r="D32" s="12" t="n">
        <f aca="false">Paytable!G14</f>
        <v>3.6</v>
      </c>
      <c r="E32" s="22" t="n">
        <f aca="false">C32*D32*10</f>
        <v>0.015380859375</v>
      </c>
      <c r="F32" s="23" t="n">
        <v>0.00042724609375</v>
      </c>
    </row>
    <row r="33" customFormat="false" ht="15" hidden="false" customHeight="false" outlineLevel="0" collapsed="false">
      <c r="A33" s="6" t="s">
        <v>69</v>
      </c>
      <c r="B33" s="20" t="n">
        <v>4</v>
      </c>
      <c r="C33" s="21" t="n">
        <f aca="false">'Reel Strips'!$H$34*('Reel Strips'!$I$34+'Reel Strips'!$I$37)*('Reel Strips'!$J$34+'Reel Strips'!$J$37)*('Reel Strips'!$K$34+'Reel Strips'!$K$37)*(1-'Reel Strips'!$L$34-'Reel Strips'!$L$37)+'Reel Strips'!$H$37*'Reel Strips'!$I$34*('Reel Strips'!$J$34+'Reel Strips'!$J$37)*('Reel Strips'!$K$34+'Reel Strips'!$K$37)*(1-'Reel Strips'!$L$34-'Reel Strips'!$L$37)+'Reel Strips'!$H$37*'Reel Strips'!$I$37*'Reel Strips'!$J$34*('Reel Strips'!$K$34+'Reel Strips'!$K$37)*(1-'Reel Strips'!$L$34-'Reel Strips'!$L$37)+'Reel Strips'!$H$37*'Reel Strips'!$I$37*'Reel Strips'!$J$37*'Reel Strips'!$K$34*(1-'Reel Strips'!$L$34-'Reel Strips'!$L$37)</f>
        <v>5.53131103515625E-005</v>
      </c>
      <c r="D33" s="12" t="n">
        <f aca="false">Paytable!H14</f>
        <v>9</v>
      </c>
      <c r="E33" s="22" t="n">
        <f aca="false">C33*D33*10</f>
        <v>0.00497817993164063</v>
      </c>
      <c r="F33" s="23" t="n">
        <v>5.53131103515625E-005</v>
      </c>
    </row>
    <row r="34" customFormat="false" ht="15" hidden="false" customHeight="false" outlineLevel="0" collapsed="false">
      <c r="A34" s="6" t="s">
        <v>69</v>
      </c>
      <c r="B34" s="20" t="n">
        <v>5</v>
      </c>
      <c r="C34" s="21" t="n">
        <f aca="false">'Reel Strips'!$H$34*('Reel Strips'!$I$34+'Reel Strips'!$I$37)*('Reel Strips'!$J$34+'Reel Strips'!$J$37)*('Reel Strips'!$K$34+'Reel Strips'!$K$37)*('Reel Strips'!$L$34+'Reel Strips'!$L$37)+'Reel Strips'!$H$37*'Reel Strips'!$I$34*('Reel Strips'!$J$34+'Reel Strips'!$J$37)*('Reel Strips'!$K$34+'Reel Strips'!$K$37)*('Reel Strips'!$L$34+'Reel Strips'!$L$37)+'Reel Strips'!$H$37*'Reel Strips'!$I$37*'Reel Strips'!$J$34*('Reel Strips'!$K$34+'Reel Strips'!$K$37)*('Reel Strips'!$L$34+'Reel Strips'!$L$37)+'Reel Strips'!$H$37*'Reel Strips'!$I$37*'Reel Strips'!$J$37*'Reel Strips'!$K$34*('Reel Strips'!$L$34+'Reel Strips'!$L$37)+'Reel Strips'!$H$37*'Reel Strips'!$I$37*'Reel Strips'!$J$37*'Reel Strips'!$K$37*'Reel Strips'!$L$34</f>
        <v>5.7220458984375E-006</v>
      </c>
      <c r="D34" s="12" t="n">
        <f aca="false">Paytable!I14</f>
        <v>24</v>
      </c>
      <c r="E34" s="22" t="n">
        <f aca="false">C34*D34*10</f>
        <v>0.001373291015625</v>
      </c>
      <c r="F34" s="23" t="n">
        <v>5.7220458984375E-006</v>
      </c>
    </row>
    <row r="35" customFormat="false" ht="15" hidden="false" customHeight="false" outlineLevel="0" collapsed="false">
      <c r="A35" s="6" t="s">
        <v>71</v>
      </c>
      <c r="B35" s="20" t="n">
        <v>3</v>
      </c>
      <c r="C35" s="21" t="n">
        <f aca="false">'Reel Strips'!$H$35*('Reel Strips'!$I$35+'Reel Strips'!$I$37)*('Reel Strips'!$J$35+'Reel Strips'!$J$37)*(1-'Reel Strips'!$K$35-'Reel Strips'!$K$37)+'Reel Strips'!$H$37*'Reel Strips'!$I$35*('Reel Strips'!$J$35+'Reel Strips'!$J$37)*(1-'Reel Strips'!$K$35-'Reel Strips'!$K$37)+'Reel Strips'!$H$37*'Reel Strips'!$I$37*'Reel Strips'!$J$35*(1-'Reel Strips'!$K$35-'Reel Strips'!$K$37)</f>
        <v>0.00042724609375</v>
      </c>
      <c r="D35" s="12" t="n">
        <f aca="false">Paytable!G15</f>
        <v>4.5</v>
      </c>
      <c r="E35" s="22" t="n">
        <f aca="false">C35*D35*10</f>
        <v>0.01922607421875</v>
      </c>
      <c r="F35" s="23" t="n">
        <v>0.00042724609375</v>
      </c>
    </row>
    <row r="36" customFormat="false" ht="15" hidden="false" customHeight="false" outlineLevel="0" collapsed="false">
      <c r="A36" s="6" t="s">
        <v>71</v>
      </c>
      <c r="B36" s="20" t="n">
        <v>4</v>
      </c>
      <c r="C36" s="21" t="n">
        <f aca="false">'Reel Strips'!$H$35*('Reel Strips'!$I$35+'Reel Strips'!$I$37)*('Reel Strips'!$J$35+'Reel Strips'!$J$37)*('Reel Strips'!$K$35+'Reel Strips'!$K$37)*(1-'Reel Strips'!$L$35-'Reel Strips'!$L$37)+'Reel Strips'!$H$37*'Reel Strips'!$I$35*('Reel Strips'!$J$35+'Reel Strips'!$J$37)*('Reel Strips'!$K$35+'Reel Strips'!$K$37)*(1-'Reel Strips'!$L$35-'Reel Strips'!$L$37)+'Reel Strips'!$H$37*'Reel Strips'!$I$37*'Reel Strips'!$J$35*('Reel Strips'!$K$35+'Reel Strips'!$K$37)*(1-'Reel Strips'!$L$35-'Reel Strips'!$L$37)+'Reel Strips'!$H$37*'Reel Strips'!$I$37*'Reel Strips'!$J$37*'Reel Strips'!$K$35*(1-'Reel Strips'!$L$35-'Reel Strips'!$L$37)</f>
        <v>5.53131103515625E-005</v>
      </c>
      <c r="D36" s="12" t="n">
        <f aca="false">Paytable!H15</f>
        <v>12</v>
      </c>
      <c r="E36" s="22" t="n">
        <f aca="false">C36*D36*10</f>
        <v>0.0066375732421875</v>
      </c>
      <c r="F36" s="23" t="n">
        <v>5.53131103515625E-005</v>
      </c>
    </row>
    <row r="37" customFormat="false" ht="15" hidden="false" customHeight="false" outlineLevel="0" collapsed="false">
      <c r="A37" s="6" t="s">
        <v>71</v>
      </c>
      <c r="B37" s="20" t="n">
        <v>5</v>
      </c>
      <c r="C37" s="21" t="n">
        <f aca="false">'Reel Strips'!$H$35*('Reel Strips'!$I$35+'Reel Strips'!$I$37)*('Reel Strips'!$J$35+'Reel Strips'!$J$37)*('Reel Strips'!$K$35+'Reel Strips'!$K$37)*('Reel Strips'!$L$35+'Reel Strips'!$L$37)+'Reel Strips'!$H$37*'Reel Strips'!$I$35*('Reel Strips'!$J$35+'Reel Strips'!$J$37)*('Reel Strips'!$K$35+'Reel Strips'!$K$37)*('Reel Strips'!$L$35+'Reel Strips'!$L$37)+'Reel Strips'!$H$37*'Reel Strips'!$I$37*'Reel Strips'!$J$35*('Reel Strips'!$K$35+'Reel Strips'!$K$37)*('Reel Strips'!$L$35+'Reel Strips'!$L$37)+'Reel Strips'!$H$37*'Reel Strips'!$I$37*'Reel Strips'!$J$37*'Reel Strips'!$K$35*('Reel Strips'!$L$35+'Reel Strips'!$L$37)+'Reel Strips'!$H$37*'Reel Strips'!$I$37*'Reel Strips'!$J$37*'Reel Strips'!$K$37*'Reel Strips'!$L$35</f>
        <v>5.7220458984375E-006</v>
      </c>
      <c r="D37" s="12" t="n">
        <f aca="false">Paytable!I15</f>
        <v>36</v>
      </c>
      <c r="E37" s="22" t="n">
        <f aca="false">C37*D37*10</f>
        <v>0.0020599365234375</v>
      </c>
      <c r="F37" s="23" t="n">
        <v>5.7220458984375E-006</v>
      </c>
    </row>
    <row r="38" customFormat="false" ht="15" hidden="false" customHeight="false" outlineLevel="0" collapsed="false">
      <c r="A38" s="6" t="s">
        <v>73</v>
      </c>
      <c r="B38" s="20" t="n">
        <v>3</v>
      </c>
      <c r="C38" s="21" t="n">
        <f aca="false">'Reel Strips'!$H$36*('Reel Strips'!$I$36+'Reel Strips'!$I$37)*('Reel Strips'!$J$36+'Reel Strips'!$J$37)*(1-'Reel Strips'!$K$36-'Reel Strips'!$K$37)+'Reel Strips'!$H$37*'Reel Strips'!$I$36*('Reel Strips'!$J$36+'Reel Strips'!$J$37)*(1-'Reel Strips'!$K$36-'Reel Strips'!$K$37)+'Reel Strips'!$H$37*'Reel Strips'!$I$37*'Reel Strips'!$J$36*(1-'Reel Strips'!$K$36-'Reel Strips'!$K$37)</f>
        <v>0.00042724609375</v>
      </c>
      <c r="D38" s="12" t="n">
        <f aca="false">Paytable!G16</f>
        <v>6</v>
      </c>
      <c r="E38" s="22" t="n">
        <f aca="false">C38*D38*10</f>
        <v>0.025634765625</v>
      </c>
      <c r="F38" s="23" t="n">
        <v>0.00042724609375</v>
      </c>
    </row>
    <row r="39" customFormat="false" ht="15" hidden="false" customHeight="false" outlineLevel="0" collapsed="false">
      <c r="A39" s="6" t="s">
        <v>73</v>
      </c>
      <c r="B39" s="20" t="n">
        <v>4</v>
      </c>
      <c r="C39" s="21" t="n">
        <f aca="false">'Reel Strips'!$H$36*('Reel Strips'!$I$36+'Reel Strips'!$I$37)*('Reel Strips'!$J$36+'Reel Strips'!$J$37)*('Reel Strips'!$K$36+'Reel Strips'!$K$37)*(1-'Reel Strips'!$L$36-'Reel Strips'!$L$37)+'Reel Strips'!$H$37*'Reel Strips'!$I$36*('Reel Strips'!$J$36+'Reel Strips'!$J$37)*('Reel Strips'!$K$36+'Reel Strips'!$K$37)*(1-'Reel Strips'!$L$36-'Reel Strips'!$L$37)+'Reel Strips'!$H$37*'Reel Strips'!$I$37*'Reel Strips'!$J$36*('Reel Strips'!$K$36+'Reel Strips'!$K$37)*(1-'Reel Strips'!$L$36-'Reel Strips'!$L$37)+'Reel Strips'!$H$37*'Reel Strips'!$I$37*'Reel Strips'!$J$37*'Reel Strips'!$K$36*(1-'Reel Strips'!$L$36-'Reel Strips'!$L$37)</f>
        <v>5.53131103515625E-005</v>
      </c>
      <c r="D39" s="12" t="n">
        <f aca="false">Paytable!H16</f>
        <v>22.5</v>
      </c>
      <c r="E39" s="22" t="n">
        <f aca="false">C39*D39*10</f>
        <v>0.0124454498291016</v>
      </c>
      <c r="F39" s="23" t="n">
        <v>5.53131103515625E-005</v>
      </c>
    </row>
    <row r="40" customFormat="false" ht="15" hidden="false" customHeight="false" outlineLevel="0" collapsed="false">
      <c r="A40" s="6" t="s">
        <v>73</v>
      </c>
      <c r="B40" s="20" t="n">
        <v>5</v>
      </c>
      <c r="C40" s="21" t="n">
        <f aca="false">'Reel Strips'!$H$36*('Reel Strips'!$I$36+'Reel Strips'!$I$37)*('Reel Strips'!$J$36+'Reel Strips'!$J$37)*('Reel Strips'!$K$36+'Reel Strips'!$K$37)*('Reel Strips'!$L$36+'Reel Strips'!$L$37)+'Reel Strips'!$H$37*'Reel Strips'!$I$36*('Reel Strips'!$J$36+'Reel Strips'!$J$37)*('Reel Strips'!$K$36+'Reel Strips'!$K$37)*('Reel Strips'!$L$36+'Reel Strips'!$L$37)+'Reel Strips'!$H$37*'Reel Strips'!$I$37*'Reel Strips'!$J$36*('Reel Strips'!$K$36+'Reel Strips'!$K$37)*('Reel Strips'!$L$36+'Reel Strips'!$L$37)+'Reel Strips'!$H$37*'Reel Strips'!$I$37*'Reel Strips'!$J$37*'Reel Strips'!$K$36*('Reel Strips'!$L$36+'Reel Strips'!$L$37)+'Reel Strips'!$H$37*'Reel Strips'!$I$37*'Reel Strips'!$J$37*'Reel Strips'!$K$37*'Reel Strips'!$L$36+'Reel Strips'!$H$37*'Reel Strips'!$I$37*'Reel Strips'!$J$37*'Reel Strips'!$K$37*'Reel Strips'!$L$37</f>
        <v>5.7220458984375E-006</v>
      </c>
      <c r="D40" s="12" t="n">
        <f aca="false">Paytable!I16</f>
        <v>75</v>
      </c>
      <c r="E40" s="22" t="n">
        <f aca="false">C40*D40*10</f>
        <v>0.00429153442382813</v>
      </c>
      <c r="F40" s="23" t="n">
        <v>5.7220458984375E-006</v>
      </c>
    </row>
    <row r="41" customFormat="false" ht="15" hidden="false" customHeight="false" outlineLevel="0" collapsed="false">
      <c r="A41" s="4" t="s">
        <v>101</v>
      </c>
      <c r="E41" s="24" t="n">
        <f aca="false">SUM(E5:E40)</f>
        <v>0.438735365867615</v>
      </c>
    </row>
    <row r="42" customFormat="false" ht="15" hidden="false" customHeight="false" outlineLevel="0" collapsed="false">
      <c r="A42" s="6" t="s">
        <v>102</v>
      </c>
      <c r="C42" s="25" t="n">
        <f aca="false">SUMPRODUCT(ABS(C5:C40-F5:F40))</f>
        <v>0</v>
      </c>
    </row>
    <row r="44" customFormat="false" ht="15" hidden="false" customHeight="false" outlineLevel="0" collapsed="false">
      <c r="A44" s="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4" min="3" style="0" width="13"/>
    <col collapsed="false" customWidth="true" hidden="false" outlineLevel="0" max="5" min="5" style="0" width="2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3" t="s">
        <v>107</v>
      </c>
      <c r="B4" s="3" t="s">
        <v>108</v>
      </c>
      <c r="C4" s="3" t="s">
        <v>109</v>
      </c>
      <c r="D4" s="3" t="s">
        <v>110</v>
      </c>
      <c r="E4" s="3" t="s">
        <v>111</v>
      </c>
      <c r="F4" s="3" t="s">
        <v>112</v>
      </c>
    </row>
    <row r="5" customFormat="false" ht="15" hidden="false" customHeight="false" outlineLevel="0" collapsed="false">
      <c r="A5" s="6" t="s">
        <v>113</v>
      </c>
      <c r="B5" s="14" t="n">
        <v>0.5</v>
      </c>
      <c r="C5" s="13" t="n">
        <v>300</v>
      </c>
      <c r="D5" s="26" t="n">
        <f aca="false">C5/SUM($C$5:$C$16)</f>
        <v>0.302312692094523</v>
      </c>
      <c r="E5" s="27" t="n">
        <f aca="false">B5*D5</f>
        <v>0.151156346047262</v>
      </c>
      <c r="F5" s="20" t="n">
        <f aca="false">1/D5</f>
        <v>3.30783333333333</v>
      </c>
    </row>
    <row r="6" customFormat="false" ht="15" hidden="false" customHeight="false" outlineLevel="0" collapsed="false">
      <c r="A6" s="6" t="s">
        <v>114</v>
      </c>
      <c r="B6" s="14" t="n">
        <v>1</v>
      </c>
      <c r="C6" s="13" t="n">
        <v>250</v>
      </c>
      <c r="D6" s="26" t="n">
        <f aca="false">C6/SUM($C$5:$C$16)</f>
        <v>0.251927243412103</v>
      </c>
      <c r="E6" s="27" t="n">
        <f aca="false">B6*D6</f>
        <v>0.251927243412103</v>
      </c>
      <c r="F6" s="20" t="n">
        <f aca="false">1/D6</f>
        <v>3.9694</v>
      </c>
    </row>
    <row r="7" customFormat="false" ht="15" hidden="false" customHeight="false" outlineLevel="0" collapsed="false">
      <c r="A7" s="6" t="s">
        <v>115</v>
      </c>
      <c r="B7" s="14" t="n">
        <v>2</v>
      </c>
      <c r="C7" s="13" t="n">
        <v>170</v>
      </c>
      <c r="D7" s="26" t="n">
        <f aca="false">C7/SUM($C$5:$C$16)</f>
        <v>0.17131052552023</v>
      </c>
      <c r="E7" s="27" t="n">
        <f aca="false">B7*D7</f>
        <v>0.34262105104046</v>
      </c>
      <c r="F7" s="20" t="n">
        <f aca="false">1/D7</f>
        <v>5.83735294117647</v>
      </c>
    </row>
    <row r="8" customFormat="false" ht="15" hidden="false" customHeight="false" outlineLevel="0" collapsed="false">
      <c r="A8" s="6" t="s">
        <v>116</v>
      </c>
      <c r="B8" s="14" t="n">
        <v>3</v>
      </c>
      <c r="C8" s="13" t="n">
        <v>110</v>
      </c>
      <c r="D8" s="26" t="n">
        <f aca="false">C8/SUM($C$5:$C$16)</f>
        <v>0.110847987101325</v>
      </c>
      <c r="E8" s="27" t="n">
        <f aca="false">B8*D8</f>
        <v>0.332543961303975</v>
      </c>
      <c r="F8" s="20" t="n">
        <f aca="false">1/D8</f>
        <v>9.02136363636364</v>
      </c>
    </row>
    <row r="9" customFormat="false" ht="15" hidden="false" customHeight="false" outlineLevel="0" collapsed="false">
      <c r="A9" s="6" t="s">
        <v>117</v>
      </c>
      <c r="B9" s="14" t="n">
        <v>5</v>
      </c>
      <c r="C9" s="13" t="n">
        <v>80</v>
      </c>
      <c r="D9" s="26" t="n">
        <f aca="false">C9/SUM($C$5:$C$16)</f>
        <v>0.0806167178918728</v>
      </c>
      <c r="E9" s="27" t="n">
        <f aca="false">B9*D9</f>
        <v>0.403083589459364</v>
      </c>
      <c r="F9" s="20" t="n">
        <f aca="false">1/D9</f>
        <v>12.404375</v>
      </c>
    </row>
    <row r="10" customFormat="false" ht="15" hidden="false" customHeight="false" outlineLevel="0" collapsed="false">
      <c r="A10" s="6" t="s">
        <v>118</v>
      </c>
      <c r="B10" s="14" t="n">
        <v>8</v>
      </c>
      <c r="C10" s="13" t="n">
        <v>38</v>
      </c>
      <c r="D10" s="26" t="n">
        <f aca="false">C10/SUM($C$5:$C$16)</f>
        <v>0.0382929409986396</v>
      </c>
      <c r="E10" s="27" t="n">
        <f aca="false">B10*D10</f>
        <v>0.306343527989117</v>
      </c>
      <c r="F10" s="20" t="n">
        <f aca="false">1/D10</f>
        <v>26.1144736842105</v>
      </c>
    </row>
    <row r="11" customFormat="false" ht="15" hidden="false" customHeight="false" outlineLevel="0" collapsed="false">
      <c r="A11" s="6" t="s">
        <v>119</v>
      </c>
      <c r="B11" s="14" t="n">
        <v>12</v>
      </c>
      <c r="C11" s="13" t="n">
        <v>22.5</v>
      </c>
      <c r="D11" s="26" t="n">
        <f aca="false">C11/SUM($C$5:$C$16)</f>
        <v>0.0226734519070892</v>
      </c>
      <c r="E11" s="27" t="n">
        <f aca="false">B11*D11</f>
        <v>0.272081422885071</v>
      </c>
      <c r="F11" s="20" t="n">
        <f aca="false">1/D11</f>
        <v>44.1044444444445</v>
      </c>
    </row>
    <row r="12" customFormat="false" ht="15" hidden="false" customHeight="false" outlineLevel="0" collapsed="false">
      <c r="A12" s="6" t="s">
        <v>120</v>
      </c>
      <c r="B12" s="14" t="n">
        <v>20</v>
      </c>
      <c r="C12" s="13" t="n">
        <v>13</v>
      </c>
      <c r="D12" s="26" t="n">
        <f aca="false">C12/SUM($C$5:$C$16)</f>
        <v>0.0131002166574293</v>
      </c>
      <c r="E12" s="27" t="n">
        <f aca="false">B12*D12</f>
        <v>0.262004333148587</v>
      </c>
      <c r="F12" s="20" t="n">
        <f aca="false">1/D12</f>
        <v>76.3346153846154</v>
      </c>
    </row>
    <row r="13" customFormat="false" ht="15" hidden="false" customHeight="false" outlineLevel="0" collapsed="false">
      <c r="A13" s="6" t="s">
        <v>121</v>
      </c>
      <c r="B13" s="14" t="n">
        <v>50</v>
      </c>
      <c r="C13" s="13" t="n">
        <v>6.5</v>
      </c>
      <c r="D13" s="26" t="n">
        <f aca="false">C13/SUM($C$5:$C$16)</f>
        <v>0.00655010832871467</v>
      </c>
      <c r="E13" s="27" t="n">
        <f aca="false">B13*D13</f>
        <v>0.327505416435733</v>
      </c>
      <c r="F13" s="20" t="n">
        <f aca="false">1/D13</f>
        <v>152.669230769231</v>
      </c>
    </row>
    <row r="14" customFormat="false" ht="15" hidden="false" customHeight="false" outlineLevel="0" collapsed="false">
      <c r="A14" s="6" t="s">
        <v>122</v>
      </c>
      <c r="B14" s="14" t="n">
        <v>100</v>
      </c>
      <c r="C14" s="13" t="n">
        <v>1.75</v>
      </c>
      <c r="D14" s="26" t="n">
        <f aca="false">C14/SUM($C$5:$C$16)</f>
        <v>0.00176349070388472</v>
      </c>
      <c r="E14" s="27" t="n">
        <f aca="false">B14*D14</f>
        <v>0.176349070388472</v>
      </c>
      <c r="F14" s="20" t="n">
        <f aca="false">1/D14</f>
        <v>567.057142857143</v>
      </c>
    </row>
    <row r="15" customFormat="false" ht="15" hidden="false" customHeight="false" outlineLevel="0" collapsed="false">
      <c r="A15" s="6" t="s">
        <v>123</v>
      </c>
      <c r="B15" s="14" t="n">
        <v>250</v>
      </c>
      <c r="C15" s="13" t="n">
        <v>0.5</v>
      </c>
      <c r="D15" s="26" t="n">
        <f aca="false">C15/SUM($C$5:$C$16)</f>
        <v>0.000503854486824205</v>
      </c>
      <c r="E15" s="27" t="n">
        <f aca="false">B15*D15</f>
        <v>0.125963621706051</v>
      </c>
      <c r="F15" s="20" t="n">
        <f aca="false">1/D15</f>
        <v>1984.7</v>
      </c>
    </row>
    <row r="16" customFormat="false" ht="15" hidden="false" customHeight="false" outlineLevel="0" collapsed="false">
      <c r="A16" s="6" t="s">
        <v>124</v>
      </c>
      <c r="B16" s="14" t="n">
        <v>1000</v>
      </c>
      <c r="C16" s="13" t="n">
        <v>0.1</v>
      </c>
      <c r="D16" s="26" t="n">
        <f aca="false">C16/SUM($C$5:$C$16)</f>
        <v>0.000100770897364841</v>
      </c>
      <c r="E16" s="27" t="n">
        <f aca="false">B16*D16</f>
        <v>0.100770897364841</v>
      </c>
      <c r="F16" s="20" t="n">
        <f aca="false">1/D16</f>
        <v>9923.5</v>
      </c>
    </row>
    <row r="18" customFormat="false" ht="15" hidden="false" customHeight="false" outlineLevel="0" collapsed="false">
      <c r="A18" s="4" t="s">
        <v>125</v>
      </c>
      <c r="E18" s="28" t="n">
        <f aca="false">SUM(E5:E16)</f>
        <v>3.05235048118103</v>
      </c>
    </row>
    <row r="20" customFormat="false" ht="15" hidden="false" customHeight="false" outlineLevel="0" collapsed="false">
      <c r="A20" s="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15" hidden="false" customHeight="false" outlineLevel="0" collapsed="false">
      <c r="A4" s="3" t="s">
        <v>129</v>
      </c>
      <c r="B4" s="3" t="s">
        <v>3</v>
      </c>
      <c r="C4" s="3" t="s">
        <v>130</v>
      </c>
    </row>
    <row r="5" customFormat="false" ht="15" hidden="false" customHeight="false" outlineLevel="0" collapsed="false">
      <c r="A5" s="6" t="s">
        <v>131</v>
      </c>
      <c r="B5" s="23" t="n">
        <v>0.1875</v>
      </c>
      <c r="C5" s="2" t="s">
        <v>132</v>
      </c>
    </row>
    <row r="6" customFormat="false" ht="15" hidden="false" customHeight="false" outlineLevel="0" collapsed="false">
      <c r="A6" s="6" t="s">
        <v>133</v>
      </c>
      <c r="B6" s="23" t="n">
        <v>0.1875</v>
      </c>
      <c r="C6" s="2"/>
    </row>
    <row r="7" customFormat="false" ht="15" hidden="false" customHeight="false" outlineLevel="0" collapsed="false">
      <c r="A7" s="6" t="s">
        <v>134</v>
      </c>
      <c r="B7" s="23" t="n">
        <v>0.1875</v>
      </c>
      <c r="C7" s="2"/>
    </row>
    <row r="8" customFormat="false" ht="15" hidden="false" customHeight="false" outlineLevel="0" collapsed="false">
      <c r="A8" s="6" t="s">
        <v>135</v>
      </c>
      <c r="B8" s="21" t="n">
        <f aca="false">B5*B6*B7</f>
        <v>0.006591796875</v>
      </c>
      <c r="C8" s="2" t="s">
        <v>136</v>
      </c>
    </row>
    <row r="9" customFormat="false" ht="15" hidden="false" customHeight="false" outlineLevel="0" collapsed="false">
      <c r="A9" s="6" t="s">
        <v>137</v>
      </c>
      <c r="B9" s="29" t="n">
        <f aca="false">1/B8</f>
        <v>151.703703703704</v>
      </c>
      <c r="C9" s="2"/>
    </row>
    <row r="10" customFormat="false" ht="15" hidden="false" customHeight="false" outlineLevel="0" collapsed="false">
      <c r="A10" s="6" t="s">
        <v>138</v>
      </c>
      <c r="B10" s="23" t="n">
        <v>0.1875</v>
      </c>
      <c r="C10" s="2"/>
    </row>
    <row r="11" customFormat="false" ht="15" hidden="false" customHeight="false" outlineLevel="0" collapsed="false">
      <c r="A11" s="6" t="s">
        <v>139</v>
      </c>
      <c r="B11" s="23" t="n">
        <v>0.1875</v>
      </c>
      <c r="C11" s="2"/>
    </row>
    <row r="12" customFormat="false" ht="15" hidden="false" customHeight="false" outlineLevel="0" collapsed="false">
      <c r="A12" s="6" t="s">
        <v>140</v>
      </c>
      <c r="B12" s="23" t="n">
        <v>0.1875</v>
      </c>
      <c r="C12" s="2"/>
    </row>
    <row r="13" customFormat="false" ht="15" hidden="false" customHeight="false" outlineLevel="0" collapsed="false">
      <c r="A13" s="6" t="s">
        <v>141</v>
      </c>
      <c r="B13" s="21" t="n">
        <f aca="false">B10*B11*B12</f>
        <v>0.006591796875</v>
      </c>
      <c r="C13" s="2"/>
    </row>
    <row r="14" customFormat="false" ht="15" hidden="false" customHeight="false" outlineLevel="0" collapsed="false">
      <c r="A14" s="6" t="s">
        <v>19</v>
      </c>
      <c r="B14" s="30" t="n">
        <f aca="false">10/(1-5*B13)</f>
        <v>10.3408230244888</v>
      </c>
      <c r="C14" s="2" t="s">
        <v>142</v>
      </c>
    </row>
    <row r="15" customFormat="false" ht="15" hidden="false" customHeight="false" outlineLevel="0" collapsed="false">
      <c r="A15" s="6" t="s">
        <v>143</v>
      </c>
      <c r="B15" s="19" t="n">
        <f aca="false">3*SUM('Reel Strips'!H39:L39)</f>
        <v>1.875</v>
      </c>
      <c r="C15" s="2" t="s">
        <v>144</v>
      </c>
    </row>
    <row r="16" customFormat="false" ht="15" hidden="false" customHeight="false" outlineLevel="0" collapsed="false">
      <c r="A16" s="6" t="s">
        <v>125</v>
      </c>
      <c r="B16" s="31" t="n">
        <f aca="false">'Fish Values'!$E$18</f>
        <v>3.05235048118103</v>
      </c>
      <c r="C16" s="2" t="s">
        <v>145</v>
      </c>
    </row>
    <row r="17" customFormat="false" ht="15" hidden="false" customHeight="false" outlineLevel="0" collapsed="false">
      <c r="A17" s="6" t="s">
        <v>146</v>
      </c>
      <c r="B17" s="31" t="n">
        <f aca="false">'Line Wins Free Spins'!E41</f>
        <v>0.438735365867615</v>
      </c>
      <c r="C17" s="2" t="s">
        <v>147</v>
      </c>
    </row>
    <row r="18" customFormat="false" ht="15" hidden="false" customHeight="false" outlineLevel="0" collapsed="false">
      <c r="A18" s="6" t="s">
        <v>148</v>
      </c>
      <c r="B18" s="27" t="n">
        <f aca="false">B17+B15*B16</f>
        <v>6.16189251808205</v>
      </c>
      <c r="C18" s="2" t="s">
        <v>149</v>
      </c>
    </row>
    <row r="19" customFormat="false" ht="15" hidden="false" customHeight="false" outlineLevel="0" collapsed="false">
      <c r="A19" s="6" t="s">
        <v>150</v>
      </c>
      <c r="B19" s="18" t="n">
        <f aca="false">B14*B18</f>
        <v>63.719040025408</v>
      </c>
      <c r="C19" s="2" t="s">
        <v>151</v>
      </c>
    </row>
    <row r="20" customFormat="false" ht="15" hidden="false" customHeight="false" outlineLevel="0" collapsed="false">
      <c r="A20" s="6" t="s">
        <v>152</v>
      </c>
      <c r="B20" s="22" t="n">
        <f aca="false">B8*B19</f>
        <v>0.420022968917484</v>
      </c>
      <c r="C20" s="2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3" customFormat="false" ht="15" hidden="false" customHeight="false" outlineLevel="0" collapsed="false">
      <c r="A3" s="6" t="s">
        <v>156</v>
      </c>
      <c r="B3" s="16" t="n">
        <v>50000000</v>
      </c>
    </row>
    <row r="5" customFormat="false" ht="15" hidden="false" customHeight="false" outlineLevel="0" collapsed="false">
      <c r="A5" s="3" t="s">
        <v>157</v>
      </c>
      <c r="B5" s="3" t="s">
        <v>158</v>
      </c>
      <c r="C5" s="3" t="s">
        <v>110</v>
      </c>
      <c r="D5" s="3" t="s">
        <v>112</v>
      </c>
      <c r="E5" s="3" t="s">
        <v>99</v>
      </c>
    </row>
    <row r="6" customFormat="false" ht="15" hidden="false" customHeight="false" outlineLevel="0" collapsed="false">
      <c r="A6" s="6" t="s">
        <v>159</v>
      </c>
      <c r="B6" s="16" t="n">
        <v>36948439</v>
      </c>
      <c r="C6" s="32" t="n">
        <f aca="false">B6/$B$3</f>
        <v>0.73896878</v>
      </c>
      <c r="D6" s="20" t="n">
        <f aca="false">IF(B6=0,"-",$B$3/B6)</f>
        <v>1.35323714216993</v>
      </c>
      <c r="E6" s="9" t="n">
        <v>0</v>
      </c>
    </row>
    <row r="7" customFormat="false" ht="15" hidden="false" customHeight="false" outlineLevel="0" collapsed="false">
      <c r="A7" s="6" t="s">
        <v>160</v>
      </c>
      <c r="B7" s="16" t="n">
        <v>5572343</v>
      </c>
      <c r="C7" s="32" t="n">
        <f aca="false">B7/$B$3</f>
        <v>0.11144686</v>
      </c>
      <c r="D7" s="20" t="n">
        <f aca="false">IF(B7=0,"-",$B$3/B7)</f>
        <v>8.97288627064055</v>
      </c>
      <c r="E7" s="9" t="n">
        <v>0.0853964699993007</v>
      </c>
    </row>
    <row r="8" customFormat="false" ht="15" hidden="false" customHeight="false" outlineLevel="0" collapsed="false">
      <c r="A8" s="6" t="s">
        <v>161</v>
      </c>
      <c r="B8" s="16" t="n">
        <v>2744720</v>
      </c>
      <c r="C8" s="32" t="n">
        <f aca="false">B8/$B$3</f>
        <v>0.0548944</v>
      </c>
      <c r="D8" s="20" t="n">
        <f aca="false">IF(B8=0,"-",$B$3/B8)</f>
        <v>18.2167944271183</v>
      </c>
      <c r="E8" s="9" t="n">
        <v>0.0810012360003257</v>
      </c>
    </row>
    <row r="9" customFormat="false" ht="15" hidden="false" customHeight="false" outlineLevel="0" collapsed="false">
      <c r="A9" s="6" t="s">
        <v>162</v>
      </c>
      <c r="B9" s="16" t="n">
        <v>3497297</v>
      </c>
      <c r="C9" s="32" t="n">
        <f aca="false">B9/$B$3</f>
        <v>0.06994594</v>
      </c>
      <c r="D9" s="20" t="n">
        <f aca="false">IF(B9=0,"-",$B$3/B9)</f>
        <v>14.2967554657211</v>
      </c>
      <c r="E9" s="9" t="n">
        <v>0.219380052003244</v>
      </c>
    </row>
    <row r="10" customFormat="false" ht="15" hidden="false" customHeight="false" outlineLevel="0" collapsed="false">
      <c r="A10" s="6" t="s">
        <v>163</v>
      </c>
      <c r="B10" s="16" t="n">
        <v>745693</v>
      </c>
      <c r="C10" s="32" t="n">
        <f aca="false">B10/$B$3</f>
        <v>0.01491386</v>
      </c>
      <c r="D10" s="20" t="n">
        <f aca="false">IF(B10=0,"-",$B$3/B10)</f>
        <v>67.0517223575922</v>
      </c>
      <c r="E10" s="9" t="n">
        <v>0.0995218740000649</v>
      </c>
    </row>
    <row r="11" customFormat="false" ht="15" hidden="false" customHeight="false" outlineLevel="0" collapsed="false">
      <c r="A11" s="6" t="s">
        <v>164</v>
      </c>
      <c r="B11" s="16" t="n">
        <v>124153</v>
      </c>
      <c r="C11" s="32" t="n">
        <f aca="false">B11/$B$3</f>
        <v>0.00248306</v>
      </c>
      <c r="D11" s="20" t="n">
        <f aca="false">IF(B11=0,"-",$B$3/B11)</f>
        <v>402.72889096518</v>
      </c>
      <c r="E11" s="9" t="n">
        <v>0.0323930319999946</v>
      </c>
    </row>
    <row r="12" customFormat="false" ht="15" hidden="false" customHeight="false" outlineLevel="0" collapsed="false">
      <c r="A12" s="6" t="s">
        <v>165</v>
      </c>
      <c r="B12" s="16" t="n">
        <v>190445</v>
      </c>
      <c r="C12" s="32" t="n">
        <f aca="false">B12/$B$3</f>
        <v>0.0038089</v>
      </c>
      <c r="D12" s="20" t="n">
        <f aca="false">IF(B12=0,"-",$B$3/B12)</f>
        <v>262.542991414844</v>
      </c>
      <c r="E12" s="9" t="n">
        <v>0.133984608000025</v>
      </c>
    </row>
    <row r="13" customFormat="false" ht="15" hidden="false" customHeight="false" outlineLevel="0" collapsed="false">
      <c r="A13" s="6" t="s">
        <v>166</v>
      </c>
      <c r="B13" s="16" t="n">
        <v>141362</v>
      </c>
      <c r="C13" s="32" t="n">
        <f aca="false">B13/$B$3</f>
        <v>0.00282724</v>
      </c>
      <c r="D13" s="20" t="n">
        <f aca="false">IF(B13=0,"-",$B$3/B13)</f>
        <v>353.701843494008</v>
      </c>
      <c r="E13" s="9" t="n">
        <v>0.191347274000045</v>
      </c>
    </row>
    <row r="14" customFormat="false" ht="15" hidden="false" customHeight="false" outlineLevel="0" collapsed="false">
      <c r="A14" s="6" t="s">
        <v>167</v>
      </c>
      <c r="B14" s="16" t="n">
        <v>31601</v>
      </c>
      <c r="C14" s="32" t="n">
        <f aca="false">B14/$B$3</f>
        <v>0.00063202</v>
      </c>
      <c r="D14" s="20" t="n">
        <f aca="false">IF(B14=0,"-",$B$3/B14)</f>
        <v>1582.22841049334</v>
      </c>
      <c r="E14" s="9" t="n">
        <v>0.0833530279999955</v>
      </c>
    </row>
    <row r="15" customFormat="false" ht="15" hidden="false" customHeight="false" outlineLevel="0" collapsed="false">
      <c r="A15" s="6" t="s">
        <v>168</v>
      </c>
      <c r="B15" s="16" t="n">
        <v>3277</v>
      </c>
      <c r="C15" s="32" t="n">
        <f aca="false">B15/$B$3</f>
        <v>6.554E-005</v>
      </c>
      <c r="D15" s="20" t="n">
        <f aca="false">IF(B15=0,"-",$B$3/B15)</f>
        <v>15257.8577967653</v>
      </c>
      <c r="E15" s="9" t="n">
        <v>0.0201634040000002</v>
      </c>
    </row>
    <row r="16" customFormat="false" ht="15" hidden="false" customHeight="false" outlineLevel="0" collapsed="false">
      <c r="A16" s="6" t="s">
        <v>169</v>
      </c>
      <c r="B16" s="16" t="n">
        <v>21</v>
      </c>
      <c r="C16" s="32" t="n">
        <f aca="false">B16/$B$3</f>
        <v>4.2E-007</v>
      </c>
      <c r="D16" s="20" t="n">
        <f aca="false">IF(B16=0,"-",$B$3/B16)</f>
        <v>2380952.38095238</v>
      </c>
      <c r="E16" s="9" t="n">
        <v>0.000230906</v>
      </c>
    </row>
    <row r="17" customFormat="false" ht="15" hidden="false" customHeight="false" outlineLevel="0" collapsed="false">
      <c r="A17" s="6" t="s">
        <v>170</v>
      </c>
      <c r="B17" s="16" t="n">
        <v>649</v>
      </c>
      <c r="C17" s="32" t="n">
        <f aca="false">B17/$B$3</f>
        <v>1.298E-005</v>
      </c>
      <c r="D17" s="20" t="n">
        <f aca="false">IF(B17=0,"-",$B$3/B17)</f>
        <v>77041.6024653313</v>
      </c>
      <c r="E17" s="9" t="n">
        <v>0.013819466</v>
      </c>
    </row>
    <row r="18" customFormat="false" ht="15" hidden="false" customHeight="false" outlineLevel="0" collapsed="false">
      <c r="A18" s="6" t="s">
        <v>171</v>
      </c>
      <c r="B18" s="16" t="n">
        <v>0</v>
      </c>
      <c r="C18" s="32" t="n">
        <f aca="false">B18/$B$3</f>
        <v>0</v>
      </c>
      <c r="D18" s="20" t="str">
        <f aca="false">IF(B18=0,"-",$B$3/B18)</f>
        <v>-</v>
      </c>
      <c r="E18" s="9" t="n">
        <v>0</v>
      </c>
    </row>
    <row r="19" customFormat="false" ht="15" hidden="false" customHeight="false" outlineLevel="0" collapsed="false">
      <c r="A19" s="4" t="s">
        <v>172</v>
      </c>
      <c r="B19" s="33" t="n">
        <f aca="false">SUM(B6:B18)</f>
        <v>50000000</v>
      </c>
      <c r="C19" s="24" t="n">
        <f aca="false">SUM(C6:C18)</f>
        <v>1</v>
      </c>
      <c r="E19" s="24" t="n">
        <f aca="false">SUM(E6:E18)</f>
        <v>0.960591350002994</v>
      </c>
    </row>
    <row r="21" customFormat="false" ht="15" hidden="false" customHeight="false" outlineLevel="0" collapsed="false">
      <c r="A21" s="2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6" min="2" style="0" width="11"/>
    <col collapsed="false" customWidth="true" hidden="false" outlineLevel="0" max="7" min="7" style="0" width="3"/>
    <col collapsed="false" customWidth="true" hidden="false" outlineLevel="0" max="12" min="8" style="0" width="11"/>
  </cols>
  <sheetData>
    <row r="1" customFormat="false" ht="17.35" hidden="false" customHeight="false" outlineLevel="0" collapsed="false">
      <c r="A1" s="1" t="s">
        <v>174</v>
      </c>
    </row>
    <row r="3" customFormat="false" ht="15" hidden="false" customHeight="false" outlineLevel="0" collapsed="false">
      <c r="A3" s="3" t="s">
        <v>175</v>
      </c>
      <c r="B3" s="3" t="s">
        <v>176</v>
      </c>
      <c r="C3" s="3" t="s">
        <v>177</v>
      </c>
      <c r="D3" s="3" t="s">
        <v>178</v>
      </c>
      <c r="E3" s="3" t="s">
        <v>179</v>
      </c>
      <c r="F3" s="3" t="s">
        <v>180</v>
      </c>
      <c r="G3" s="3"/>
      <c r="H3" s="3" t="s">
        <v>181</v>
      </c>
      <c r="I3" s="3" t="s">
        <v>182</v>
      </c>
      <c r="J3" s="3" t="s">
        <v>183</v>
      </c>
      <c r="K3" s="3" t="s">
        <v>184</v>
      </c>
      <c r="L3" s="3" t="s">
        <v>185</v>
      </c>
    </row>
    <row r="4" customFormat="false" ht="15" hidden="false" customHeight="false" outlineLevel="0" collapsed="false">
      <c r="A4" s="20" t="n">
        <v>0</v>
      </c>
      <c r="B4" s="17" t="s">
        <v>52</v>
      </c>
      <c r="C4" s="17" t="s">
        <v>49</v>
      </c>
      <c r="D4" s="17" t="s">
        <v>65</v>
      </c>
      <c r="E4" s="17" t="s">
        <v>61</v>
      </c>
      <c r="F4" s="17" t="s">
        <v>186</v>
      </c>
      <c r="H4" s="17" t="s">
        <v>52</v>
      </c>
      <c r="I4" s="17" t="s">
        <v>56</v>
      </c>
      <c r="J4" s="17" t="s">
        <v>187</v>
      </c>
      <c r="K4" s="17" t="s">
        <v>72</v>
      </c>
      <c r="L4" s="17" t="s">
        <v>52</v>
      </c>
    </row>
    <row r="5" customFormat="false" ht="15" hidden="false" customHeight="false" outlineLevel="0" collapsed="false">
      <c r="A5" s="20" t="n">
        <v>1</v>
      </c>
      <c r="B5" s="17" t="s">
        <v>54</v>
      </c>
      <c r="C5" s="17" t="s">
        <v>65</v>
      </c>
      <c r="D5" s="17" t="s">
        <v>67</v>
      </c>
      <c r="E5" s="17" t="s">
        <v>54</v>
      </c>
      <c r="F5" s="17" t="s">
        <v>49</v>
      </c>
      <c r="H5" s="17" t="s">
        <v>52</v>
      </c>
      <c r="I5" s="17" t="s">
        <v>52</v>
      </c>
      <c r="J5" s="17" t="s">
        <v>70</v>
      </c>
      <c r="K5" s="17" t="s">
        <v>188</v>
      </c>
      <c r="L5" s="17" t="s">
        <v>52</v>
      </c>
    </row>
    <row r="6" customFormat="false" ht="15" hidden="false" customHeight="false" outlineLevel="0" collapsed="false">
      <c r="A6" s="20" t="n">
        <v>2</v>
      </c>
      <c r="B6" s="17" t="s">
        <v>74</v>
      </c>
      <c r="C6" s="17" t="s">
        <v>54</v>
      </c>
      <c r="D6" s="17" t="s">
        <v>61</v>
      </c>
      <c r="E6" s="17" t="s">
        <v>67</v>
      </c>
      <c r="F6" s="17" t="s">
        <v>52</v>
      </c>
      <c r="H6" s="17" t="s">
        <v>63</v>
      </c>
      <c r="I6" s="17" t="s">
        <v>58</v>
      </c>
      <c r="J6" s="17" t="s">
        <v>186</v>
      </c>
      <c r="K6" s="17" t="s">
        <v>186</v>
      </c>
      <c r="L6" s="17" t="s">
        <v>65</v>
      </c>
    </row>
    <row r="7" customFormat="false" ht="15" hidden="false" customHeight="false" outlineLevel="0" collapsed="false">
      <c r="A7" s="20" t="n">
        <v>3</v>
      </c>
      <c r="B7" s="17" t="s">
        <v>61</v>
      </c>
      <c r="C7" s="17" t="s">
        <v>63</v>
      </c>
      <c r="D7" s="17" t="s">
        <v>58</v>
      </c>
      <c r="E7" s="17" t="s">
        <v>187</v>
      </c>
      <c r="F7" s="17" t="s">
        <v>61</v>
      </c>
      <c r="H7" s="17" t="s">
        <v>188</v>
      </c>
      <c r="I7" s="17" t="s">
        <v>56</v>
      </c>
      <c r="J7" s="17" t="s">
        <v>52</v>
      </c>
      <c r="K7" s="17" t="s">
        <v>52</v>
      </c>
      <c r="L7" s="17" t="s">
        <v>63</v>
      </c>
    </row>
    <row r="8" customFormat="false" ht="15" hidden="false" customHeight="false" outlineLevel="0" collapsed="false">
      <c r="A8" s="20" t="n">
        <v>4</v>
      </c>
      <c r="B8" s="17" t="s">
        <v>54</v>
      </c>
      <c r="C8" s="17" t="s">
        <v>58</v>
      </c>
      <c r="D8" s="17" t="s">
        <v>186</v>
      </c>
      <c r="E8" s="17" t="s">
        <v>186</v>
      </c>
      <c r="F8" s="17" t="s">
        <v>65</v>
      </c>
      <c r="H8" s="17" t="s">
        <v>56</v>
      </c>
      <c r="I8" s="17" t="s">
        <v>49</v>
      </c>
      <c r="J8" s="17" t="s">
        <v>61</v>
      </c>
      <c r="K8" s="17" t="s">
        <v>58</v>
      </c>
      <c r="L8" s="17" t="s">
        <v>188</v>
      </c>
    </row>
    <row r="9" customFormat="false" ht="15" hidden="false" customHeight="false" outlineLevel="0" collapsed="false">
      <c r="A9" s="20" t="n">
        <v>5</v>
      </c>
      <c r="B9" s="17" t="s">
        <v>49</v>
      </c>
      <c r="C9" s="17" t="s">
        <v>186</v>
      </c>
      <c r="D9" s="17" t="s">
        <v>58</v>
      </c>
      <c r="E9" s="17" t="s">
        <v>56</v>
      </c>
      <c r="F9" s="17" t="s">
        <v>56</v>
      </c>
      <c r="H9" s="17" t="s">
        <v>61</v>
      </c>
      <c r="I9" s="17" t="s">
        <v>54</v>
      </c>
      <c r="J9" s="17" t="s">
        <v>186</v>
      </c>
      <c r="K9" s="17" t="s">
        <v>188</v>
      </c>
      <c r="L9" s="17" t="s">
        <v>65</v>
      </c>
    </row>
    <row r="10" customFormat="false" ht="15" hidden="false" customHeight="false" outlineLevel="0" collapsed="false">
      <c r="A10" s="20" t="n">
        <v>6</v>
      </c>
      <c r="B10" s="17" t="s">
        <v>58</v>
      </c>
      <c r="C10" s="17" t="s">
        <v>56</v>
      </c>
      <c r="D10" s="17" t="s">
        <v>58</v>
      </c>
      <c r="E10" s="17" t="s">
        <v>52</v>
      </c>
      <c r="F10" s="17" t="s">
        <v>186</v>
      </c>
      <c r="H10" s="17" t="s">
        <v>58</v>
      </c>
      <c r="I10" s="17" t="s">
        <v>187</v>
      </c>
      <c r="J10" s="17" t="s">
        <v>187</v>
      </c>
      <c r="K10" s="17" t="s">
        <v>54</v>
      </c>
      <c r="L10" s="17" t="s">
        <v>56</v>
      </c>
    </row>
    <row r="11" customFormat="false" ht="15" hidden="false" customHeight="false" outlineLevel="0" collapsed="false">
      <c r="A11" s="20" t="n">
        <v>7</v>
      </c>
      <c r="B11" s="17" t="s">
        <v>49</v>
      </c>
      <c r="C11" s="17" t="s">
        <v>67</v>
      </c>
      <c r="D11" s="17" t="s">
        <v>63</v>
      </c>
      <c r="E11" s="17" t="s">
        <v>186</v>
      </c>
      <c r="F11" s="17" t="s">
        <v>63</v>
      </c>
      <c r="H11" s="17" t="s">
        <v>188</v>
      </c>
      <c r="I11" s="17" t="s">
        <v>188</v>
      </c>
      <c r="J11" s="17" t="s">
        <v>188</v>
      </c>
      <c r="K11" s="17" t="s">
        <v>187</v>
      </c>
      <c r="L11" s="17" t="s">
        <v>56</v>
      </c>
    </row>
    <row r="12" customFormat="false" ht="15" hidden="false" customHeight="false" outlineLevel="0" collapsed="false">
      <c r="A12" s="20" t="n">
        <v>8</v>
      </c>
      <c r="B12" s="17" t="s">
        <v>56</v>
      </c>
      <c r="C12" s="17" t="s">
        <v>56</v>
      </c>
      <c r="D12" s="17" t="s">
        <v>187</v>
      </c>
      <c r="E12" s="17" t="s">
        <v>49</v>
      </c>
      <c r="F12" s="17" t="s">
        <v>56</v>
      </c>
      <c r="H12" s="17" t="s">
        <v>65</v>
      </c>
      <c r="I12" s="17" t="s">
        <v>54</v>
      </c>
      <c r="J12" s="17" t="s">
        <v>72</v>
      </c>
      <c r="K12" s="17" t="s">
        <v>61</v>
      </c>
      <c r="L12" s="17" t="s">
        <v>188</v>
      </c>
    </row>
    <row r="13" customFormat="false" ht="15" hidden="false" customHeight="false" outlineLevel="0" collapsed="false">
      <c r="A13" s="20" t="n">
        <v>9</v>
      </c>
      <c r="B13" s="17" t="s">
        <v>52</v>
      </c>
      <c r="C13" s="17" t="s">
        <v>65</v>
      </c>
      <c r="D13" s="17" t="s">
        <v>52</v>
      </c>
      <c r="E13" s="17" t="s">
        <v>72</v>
      </c>
      <c r="F13" s="17" t="s">
        <v>61</v>
      </c>
      <c r="H13" s="17" t="s">
        <v>49</v>
      </c>
      <c r="I13" s="17" t="s">
        <v>188</v>
      </c>
      <c r="J13" s="17" t="s">
        <v>56</v>
      </c>
      <c r="K13" s="17" t="s">
        <v>67</v>
      </c>
      <c r="L13" s="17" t="s">
        <v>67</v>
      </c>
    </row>
    <row r="14" customFormat="false" ht="15" hidden="false" customHeight="false" outlineLevel="0" collapsed="false">
      <c r="A14" s="20" t="n">
        <v>10</v>
      </c>
      <c r="B14" s="17" t="s">
        <v>54</v>
      </c>
      <c r="C14" s="17" t="s">
        <v>187</v>
      </c>
      <c r="D14" s="17" t="s">
        <v>54</v>
      </c>
      <c r="E14" s="17" t="s">
        <v>70</v>
      </c>
      <c r="F14" s="17" t="s">
        <v>56</v>
      </c>
      <c r="H14" s="17" t="s">
        <v>74</v>
      </c>
      <c r="I14" s="17" t="s">
        <v>61</v>
      </c>
      <c r="J14" s="17" t="s">
        <v>49</v>
      </c>
      <c r="K14" s="17" t="s">
        <v>187</v>
      </c>
      <c r="L14" s="17" t="s">
        <v>186</v>
      </c>
    </row>
    <row r="15" customFormat="false" ht="15" hidden="false" customHeight="false" outlineLevel="0" collapsed="false">
      <c r="A15" s="20" t="n">
        <v>11</v>
      </c>
      <c r="B15" s="17" t="s">
        <v>70</v>
      </c>
      <c r="C15" s="17" t="s">
        <v>63</v>
      </c>
      <c r="D15" s="17" t="s">
        <v>56</v>
      </c>
      <c r="E15" s="17" t="s">
        <v>63</v>
      </c>
      <c r="F15" s="17" t="s">
        <v>52</v>
      </c>
      <c r="H15" s="17" t="s">
        <v>65</v>
      </c>
      <c r="I15" s="17" t="s">
        <v>186</v>
      </c>
      <c r="J15" s="17" t="s">
        <v>56</v>
      </c>
      <c r="K15" s="17" t="s">
        <v>186</v>
      </c>
      <c r="L15" s="17" t="s">
        <v>74</v>
      </c>
    </row>
    <row r="16" customFormat="false" ht="15" hidden="false" customHeight="false" outlineLevel="0" collapsed="false">
      <c r="A16" s="20" t="n">
        <v>12</v>
      </c>
      <c r="B16" s="17" t="s">
        <v>49</v>
      </c>
      <c r="C16" s="17" t="s">
        <v>186</v>
      </c>
      <c r="D16" s="17" t="s">
        <v>54</v>
      </c>
      <c r="E16" s="17" t="s">
        <v>56</v>
      </c>
      <c r="F16" s="17" t="s">
        <v>67</v>
      </c>
      <c r="H16" s="17" t="s">
        <v>61</v>
      </c>
      <c r="I16" s="17" t="s">
        <v>188</v>
      </c>
      <c r="J16" s="17" t="s">
        <v>52</v>
      </c>
      <c r="K16" s="17" t="s">
        <v>61</v>
      </c>
      <c r="L16" s="17" t="s">
        <v>70</v>
      </c>
    </row>
    <row r="17" customFormat="false" ht="15" hidden="false" customHeight="false" outlineLevel="0" collapsed="false">
      <c r="A17" s="20" t="n">
        <v>13</v>
      </c>
      <c r="B17" s="17" t="s">
        <v>54</v>
      </c>
      <c r="C17" s="17" t="s">
        <v>52</v>
      </c>
      <c r="D17" s="17" t="s">
        <v>49</v>
      </c>
      <c r="E17" s="17" t="s">
        <v>58</v>
      </c>
      <c r="F17" s="17" t="s">
        <v>54</v>
      </c>
      <c r="H17" s="17" t="s">
        <v>63</v>
      </c>
      <c r="I17" s="17" t="s">
        <v>56</v>
      </c>
      <c r="J17" s="17" t="s">
        <v>74</v>
      </c>
      <c r="K17" s="17" t="s">
        <v>49</v>
      </c>
      <c r="L17" s="17" t="s">
        <v>49</v>
      </c>
    </row>
    <row r="18" customFormat="false" ht="15" hidden="false" customHeight="false" outlineLevel="0" collapsed="false">
      <c r="A18" s="20" t="n">
        <v>14</v>
      </c>
      <c r="B18" s="17" t="s">
        <v>63</v>
      </c>
      <c r="C18" s="17" t="s">
        <v>56</v>
      </c>
      <c r="D18" s="17" t="s">
        <v>63</v>
      </c>
      <c r="E18" s="17" t="s">
        <v>61</v>
      </c>
      <c r="F18" s="17" t="s">
        <v>49</v>
      </c>
      <c r="H18" s="17" t="s">
        <v>61</v>
      </c>
      <c r="I18" s="17" t="s">
        <v>187</v>
      </c>
      <c r="J18" s="17" t="s">
        <v>186</v>
      </c>
      <c r="K18" s="17" t="s">
        <v>65</v>
      </c>
      <c r="L18" s="17" t="s">
        <v>188</v>
      </c>
    </row>
    <row r="19" customFormat="false" ht="15" hidden="false" customHeight="false" outlineLevel="0" collapsed="false">
      <c r="A19" s="20" t="n">
        <v>15</v>
      </c>
      <c r="B19" s="17" t="s">
        <v>58</v>
      </c>
      <c r="C19" s="17" t="s">
        <v>74</v>
      </c>
      <c r="D19" s="17" t="s">
        <v>49</v>
      </c>
      <c r="E19" s="17" t="s">
        <v>56</v>
      </c>
      <c r="F19" s="17" t="s">
        <v>63</v>
      </c>
      <c r="H19" s="17" t="s">
        <v>49</v>
      </c>
      <c r="I19" s="17" t="s">
        <v>74</v>
      </c>
      <c r="J19" s="17" t="s">
        <v>61</v>
      </c>
      <c r="K19" s="17" t="s">
        <v>49</v>
      </c>
      <c r="L19" s="17" t="s">
        <v>54</v>
      </c>
    </row>
    <row r="20" customFormat="false" ht="15" hidden="false" customHeight="false" outlineLevel="0" collapsed="false">
      <c r="A20" s="20" t="n">
        <v>16</v>
      </c>
      <c r="B20" s="17" t="s">
        <v>63</v>
      </c>
      <c r="C20" s="17" t="s">
        <v>70</v>
      </c>
      <c r="D20" s="17" t="s">
        <v>187</v>
      </c>
      <c r="E20" s="17" t="s">
        <v>65</v>
      </c>
      <c r="F20" s="17" t="s">
        <v>54</v>
      </c>
      <c r="H20" s="17" t="s">
        <v>70</v>
      </c>
      <c r="I20" s="17" t="s">
        <v>54</v>
      </c>
      <c r="J20" s="17" t="s">
        <v>188</v>
      </c>
      <c r="K20" s="17" t="s">
        <v>56</v>
      </c>
      <c r="L20" s="17" t="s">
        <v>188</v>
      </c>
    </row>
    <row r="21" customFormat="false" ht="15" hidden="false" customHeight="false" outlineLevel="0" collapsed="false">
      <c r="A21" s="20" t="n">
        <v>17</v>
      </c>
      <c r="B21" s="17" t="s">
        <v>56</v>
      </c>
      <c r="C21" s="17" t="s">
        <v>52</v>
      </c>
      <c r="D21" s="17" t="s">
        <v>72</v>
      </c>
      <c r="E21" s="17" t="s">
        <v>186</v>
      </c>
      <c r="F21" s="17" t="s">
        <v>58</v>
      </c>
      <c r="H21" s="17" t="s">
        <v>54</v>
      </c>
      <c r="I21" s="17" t="s">
        <v>67</v>
      </c>
      <c r="J21" s="17" t="s">
        <v>65</v>
      </c>
      <c r="K21" s="17" t="s">
        <v>58</v>
      </c>
      <c r="L21" s="17" t="s">
        <v>58</v>
      </c>
    </row>
    <row r="22" customFormat="false" ht="15" hidden="false" customHeight="false" outlineLevel="0" collapsed="false">
      <c r="A22" s="20" t="n">
        <v>18</v>
      </c>
      <c r="B22" s="17" t="s">
        <v>61</v>
      </c>
      <c r="C22" s="17" t="s">
        <v>49</v>
      </c>
      <c r="D22" s="17" t="s">
        <v>54</v>
      </c>
      <c r="E22" s="17" t="s">
        <v>52</v>
      </c>
      <c r="F22" s="17" t="s">
        <v>58</v>
      </c>
      <c r="H22" s="17" t="s">
        <v>54</v>
      </c>
      <c r="I22" s="17" t="s">
        <v>186</v>
      </c>
      <c r="J22" s="17" t="s">
        <v>54</v>
      </c>
      <c r="K22" s="17" t="s">
        <v>54</v>
      </c>
      <c r="L22" s="17" t="s">
        <v>56</v>
      </c>
    </row>
    <row r="23" customFormat="false" ht="15" hidden="false" customHeight="false" outlineLevel="0" collapsed="false">
      <c r="A23" s="20" t="n">
        <v>19</v>
      </c>
      <c r="B23" s="17" t="s">
        <v>52</v>
      </c>
      <c r="C23" s="17" t="s">
        <v>58</v>
      </c>
      <c r="D23" s="17" t="s">
        <v>49</v>
      </c>
      <c r="E23" s="17" t="s">
        <v>49</v>
      </c>
      <c r="F23" s="17" t="s">
        <v>54</v>
      </c>
      <c r="H23" s="17" t="s">
        <v>67</v>
      </c>
      <c r="I23" s="17" t="s">
        <v>63</v>
      </c>
      <c r="J23" s="17" t="s">
        <v>49</v>
      </c>
      <c r="K23" s="17" t="s">
        <v>63</v>
      </c>
      <c r="L23" s="17" t="s">
        <v>58</v>
      </c>
    </row>
    <row r="24" customFormat="false" ht="15" hidden="false" customHeight="false" outlineLevel="0" collapsed="false">
      <c r="A24" s="20" t="n">
        <v>20</v>
      </c>
      <c r="B24" s="17" t="s">
        <v>67</v>
      </c>
      <c r="C24" s="17" t="s">
        <v>49</v>
      </c>
      <c r="D24" s="17" t="s">
        <v>70</v>
      </c>
      <c r="E24" s="17" t="s">
        <v>54</v>
      </c>
      <c r="F24" s="17" t="s">
        <v>52</v>
      </c>
      <c r="H24" s="17" t="s">
        <v>54</v>
      </c>
      <c r="I24" s="17" t="s">
        <v>72</v>
      </c>
      <c r="J24" s="17" t="s">
        <v>63</v>
      </c>
      <c r="K24" s="17" t="s">
        <v>188</v>
      </c>
      <c r="L24" s="17" t="s">
        <v>54</v>
      </c>
    </row>
    <row r="25" customFormat="false" ht="15" hidden="false" customHeight="false" outlineLevel="0" collapsed="false">
      <c r="A25" s="20" t="n">
        <v>21</v>
      </c>
      <c r="B25" s="17" t="s">
        <v>72</v>
      </c>
      <c r="C25" s="17" t="s">
        <v>54</v>
      </c>
      <c r="D25" s="17" t="s">
        <v>186</v>
      </c>
      <c r="E25" s="17" t="s">
        <v>65</v>
      </c>
      <c r="F25" s="17" t="s">
        <v>49</v>
      </c>
      <c r="H25" s="17" t="s">
        <v>49</v>
      </c>
      <c r="I25" s="17" t="s">
        <v>65</v>
      </c>
      <c r="J25" s="17" t="s">
        <v>188</v>
      </c>
      <c r="K25" s="17" t="s">
        <v>52</v>
      </c>
      <c r="L25" s="17" t="s">
        <v>63</v>
      </c>
    </row>
    <row r="26" customFormat="false" ht="15" hidden="false" customHeight="false" outlineLevel="0" collapsed="false">
      <c r="A26" s="20" t="n">
        <v>22</v>
      </c>
      <c r="B26" s="17" t="s">
        <v>49</v>
      </c>
      <c r="C26" s="17" t="s">
        <v>54</v>
      </c>
      <c r="D26" s="17" t="s">
        <v>52</v>
      </c>
      <c r="E26" s="17" t="s">
        <v>52</v>
      </c>
      <c r="F26" s="17" t="s">
        <v>65</v>
      </c>
      <c r="H26" s="17" t="s">
        <v>188</v>
      </c>
      <c r="I26" s="17" t="s">
        <v>49</v>
      </c>
      <c r="J26" s="17" t="s">
        <v>63</v>
      </c>
      <c r="K26" s="17" t="s">
        <v>188</v>
      </c>
      <c r="L26" s="17" t="s">
        <v>72</v>
      </c>
    </row>
    <row r="27" customFormat="false" ht="15" hidden="false" customHeight="false" outlineLevel="0" collapsed="false">
      <c r="A27" s="20" t="n">
        <v>23</v>
      </c>
      <c r="B27" s="17" t="s">
        <v>61</v>
      </c>
      <c r="C27" s="17" t="s">
        <v>61</v>
      </c>
      <c r="D27" s="17" t="s">
        <v>74</v>
      </c>
      <c r="E27" s="17" t="s">
        <v>58</v>
      </c>
      <c r="F27" s="17" t="s">
        <v>61</v>
      </c>
      <c r="H27" s="17" t="s">
        <v>56</v>
      </c>
      <c r="I27" s="17" t="s">
        <v>58</v>
      </c>
      <c r="J27" s="17" t="s">
        <v>56</v>
      </c>
      <c r="K27" s="17" t="s">
        <v>56</v>
      </c>
      <c r="L27" s="17" t="s">
        <v>61</v>
      </c>
    </row>
    <row r="28" customFormat="false" ht="15" hidden="false" customHeight="false" outlineLevel="0" collapsed="false">
      <c r="A28" s="20" t="n">
        <v>24</v>
      </c>
      <c r="B28" s="17" t="s">
        <v>49</v>
      </c>
      <c r="C28" s="17" t="s">
        <v>54</v>
      </c>
      <c r="D28" s="17" t="s">
        <v>186</v>
      </c>
      <c r="E28" s="17" t="s">
        <v>54</v>
      </c>
      <c r="F28" s="17" t="s">
        <v>70</v>
      </c>
      <c r="H28" s="17" t="s">
        <v>72</v>
      </c>
      <c r="I28" s="17" t="s">
        <v>65</v>
      </c>
      <c r="J28" s="17" t="s">
        <v>54</v>
      </c>
      <c r="K28" s="17" t="s">
        <v>63</v>
      </c>
      <c r="L28" s="17" t="s">
        <v>58</v>
      </c>
    </row>
    <row r="29" customFormat="false" ht="15" hidden="false" customHeight="false" outlineLevel="0" collapsed="false">
      <c r="A29" s="20" t="n">
        <v>25</v>
      </c>
      <c r="B29" s="17" t="s">
        <v>52</v>
      </c>
      <c r="C29" s="17" t="s">
        <v>56</v>
      </c>
      <c r="D29" s="17" t="s">
        <v>56</v>
      </c>
      <c r="E29" s="17" t="s">
        <v>74</v>
      </c>
      <c r="F29" s="17" t="s">
        <v>52</v>
      </c>
      <c r="H29" s="17" t="s">
        <v>52</v>
      </c>
      <c r="I29" s="17" t="s">
        <v>186</v>
      </c>
      <c r="J29" s="17" t="s">
        <v>67</v>
      </c>
      <c r="K29" s="17" t="s">
        <v>70</v>
      </c>
      <c r="L29" s="17" t="s">
        <v>61</v>
      </c>
    </row>
    <row r="30" customFormat="false" ht="15" hidden="false" customHeight="false" outlineLevel="0" collapsed="false">
      <c r="A30" s="20" t="n">
        <v>26</v>
      </c>
      <c r="B30" s="17" t="s">
        <v>58</v>
      </c>
      <c r="C30" s="17" t="s">
        <v>186</v>
      </c>
      <c r="D30" s="17" t="s">
        <v>65</v>
      </c>
      <c r="E30" s="17" t="s">
        <v>56</v>
      </c>
      <c r="F30" s="17" t="s">
        <v>54</v>
      </c>
      <c r="H30" s="17" t="s">
        <v>56</v>
      </c>
      <c r="I30" s="17" t="s">
        <v>61</v>
      </c>
      <c r="J30" s="17" t="s">
        <v>58</v>
      </c>
      <c r="K30" s="17" t="s">
        <v>56</v>
      </c>
      <c r="L30" s="17" t="s">
        <v>49</v>
      </c>
    </row>
    <row r="31" customFormat="false" ht="15" hidden="false" customHeight="false" outlineLevel="0" collapsed="false">
      <c r="A31" s="20" t="n">
        <v>27</v>
      </c>
      <c r="B31" s="17" t="s">
        <v>56</v>
      </c>
      <c r="C31" s="17" t="s">
        <v>52</v>
      </c>
      <c r="D31" s="17" t="s">
        <v>61</v>
      </c>
      <c r="E31" s="17" t="s">
        <v>54</v>
      </c>
      <c r="F31" s="17" t="s">
        <v>58</v>
      </c>
      <c r="H31" s="17" t="s">
        <v>58</v>
      </c>
      <c r="I31" s="17" t="s">
        <v>70</v>
      </c>
      <c r="J31" s="17" t="s">
        <v>58</v>
      </c>
      <c r="K31" s="17" t="s">
        <v>186</v>
      </c>
      <c r="L31" s="17" t="s">
        <v>61</v>
      </c>
    </row>
    <row r="32" customFormat="false" ht="15" hidden="false" customHeight="false" outlineLevel="0" collapsed="false">
      <c r="A32" s="20" t="n">
        <v>28</v>
      </c>
      <c r="B32" s="17" t="s">
        <v>65</v>
      </c>
      <c r="C32" s="17" t="s">
        <v>61</v>
      </c>
      <c r="D32" s="17" t="s">
        <v>56</v>
      </c>
      <c r="E32" s="17" t="s">
        <v>58</v>
      </c>
      <c r="F32" s="17" t="s">
        <v>74</v>
      </c>
      <c r="H32" s="17" t="s">
        <v>58</v>
      </c>
      <c r="I32" s="17" t="s">
        <v>52</v>
      </c>
      <c r="J32" s="17" t="s">
        <v>65</v>
      </c>
      <c r="K32" s="17" t="s">
        <v>54</v>
      </c>
      <c r="L32" s="17" t="s">
        <v>186</v>
      </c>
    </row>
    <row r="33" customFormat="false" ht="15" hidden="false" customHeight="false" outlineLevel="0" collapsed="false">
      <c r="A33" s="20" t="n">
        <v>29</v>
      </c>
      <c r="B33" s="17" t="s">
        <v>65</v>
      </c>
      <c r="C33" s="17" t="s">
        <v>58</v>
      </c>
      <c r="D33" s="17" t="s">
        <v>52</v>
      </c>
      <c r="E33" s="17" t="s">
        <v>63</v>
      </c>
      <c r="F33" s="17" t="s">
        <v>56</v>
      </c>
      <c r="H33" s="17" t="s">
        <v>56</v>
      </c>
      <c r="I33" s="17" t="s">
        <v>63</v>
      </c>
      <c r="J33" s="17" t="s">
        <v>188</v>
      </c>
      <c r="K33" s="17" t="s">
        <v>74</v>
      </c>
      <c r="L33" s="17" t="s">
        <v>52</v>
      </c>
    </row>
    <row r="34" customFormat="false" ht="15" hidden="false" customHeight="false" outlineLevel="0" collapsed="false">
      <c r="A34" s="20" t="n">
        <v>30</v>
      </c>
      <c r="B34" s="17" t="s">
        <v>56</v>
      </c>
      <c r="C34" s="17" t="s">
        <v>72</v>
      </c>
      <c r="D34" s="17" t="s">
        <v>54</v>
      </c>
      <c r="E34" s="17" t="s">
        <v>187</v>
      </c>
      <c r="F34" s="17" t="s">
        <v>49</v>
      </c>
      <c r="H34" s="17" t="s">
        <v>54</v>
      </c>
      <c r="I34" s="17" t="s">
        <v>58</v>
      </c>
      <c r="J34" s="17" t="s">
        <v>58</v>
      </c>
      <c r="K34" s="17" t="s">
        <v>65</v>
      </c>
      <c r="L34" s="17" t="s">
        <v>49</v>
      </c>
    </row>
    <row r="35" customFormat="false" ht="15" hidden="false" customHeight="false" outlineLevel="0" collapsed="false">
      <c r="A35" s="20" t="n">
        <v>31</v>
      </c>
      <c r="B35" s="17" t="s">
        <v>52</v>
      </c>
      <c r="C35" s="17" t="s">
        <v>187</v>
      </c>
      <c r="D35" s="17" t="s">
        <v>56</v>
      </c>
      <c r="E35" s="17" t="s">
        <v>49</v>
      </c>
      <c r="F35" s="17" t="s">
        <v>72</v>
      </c>
      <c r="H35" s="17" t="s">
        <v>188</v>
      </c>
      <c r="I35" s="17" t="s">
        <v>188</v>
      </c>
      <c r="J35" s="17" t="s">
        <v>54</v>
      </c>
      <c r="K35" s="17" t="s">
        <v>58</v>
      </c>
      <c r="L35" s="17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2026-10-07T11:34:27Z</dcterms:created>
  <dc:creator>openpyxl</dc:creator>
  <dc:description/>
  <dc:language>en-GB</dc:language>
  <cp:lastModifiedBy/>
  <dcterms:modified xsi:type="dcterms:W3CDTF">2026-10-07T11:34:27Z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